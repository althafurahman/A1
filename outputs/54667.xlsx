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559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DATA" sheetId="2" state="visible" r:id="rId2"/>
  </sheets>
  <definedNames/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4">
    <numFmt numFmtId="164" formatCode="dd/\ hh:mm"/>
    <numFmt numFmtId="165" formatCode="000"/>
    <numFmt numFmtId="166" formatCode="[h]:mm"/>
    <numFmt numFmtId="167" formatCode="[h]:mm;;&quot;&quot;"/>
  </numFmts>
  <fonts count="33">
    <font>
      <name val="宋体"/>
      <charset val="134"/>
      <sz val="11"/>
      <scheme val="minor"/>
    </font>
    <font>
      <name val="宋体"/>
      <charset val="134"/>
      <sz val="9"/>
      <scheme val="minor"/>
    </font>
    <font>
      <name val="宋体"/>
      <charset val="134"/>
      <b val="1"/>
      <color rgb="FF99FFCC"/>
      <sz val="12"/>
      <scheme val="minor"/>
    </font>
    <font>
      <name val="宋体"/>
      <charset val="134"/>
      <b val="1"/>
      <color theme="0"/>
      <sz val="12"/>
      <scheme val="minor"/>
    </font>
    <font>
      <name val="宋体"/>
      <charset val="134"/>
      <b val="1"/>
      <color rgb="FF002060"/>
      <sz val="12"/>
      <scheme val="minor"/>
    </font>
    <font>
      <name val="宋体"/>
      <charset val="134"/>
      <b val="1"/>
      <color rgb="FFFFFFFF"/>
      <sz val="9"/>
      <scheme val="minor"/>
    </font>
    <font>
      <name val="宋体"/>
      <charset val="134"/>
      <b val="1"/>
      <color theme="0"/>
      <sz val="9"/>
      <scheme val="minor"/>
    </font>
    <font>
      <name val="宋体"/>
      <charset val="134"/>
      <b val="1"/>
      <color theme="3" tint="0.399975585192419"/>
      <sz val="9"/>
      <scheme val="minor"/>
    </font>
    <font>
      <name val="MV Boli"/>
      <charset val="134"/>
      <b val="1"/>
      <color rgb="FF99FFCC"/>
      <sz val="12"/>
    </font>
    <font>
      <name val="MV Boli"/>
      <charset val="134"/>
      <b val="1"/>
      <color rgb="FF8AD0E6"/>
      <sz val="12"/>
    </font>
    <font>
      <name val="宋体"/>
      <charset val="134"/>
      <b val="1"/>
      <color theme="0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color indexed="9"/>
      <sz val="10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70C0"/>
        <bgColor rgb="FF000000"/>
      </patternFill>
    </fill>
    <fill>
      <gradientFill type="linear" degree="90">
        <stop position="0">
          <color theme="0"/>
        </stop>
        <stop position="1">
          <color rgb="FF8AD0E6"/>
        </stop>
      </gradientFill>
    </fill>
    <fill>
      <patternFill patternType="solid">
        <fgColor rgb="FF548ED4"/>
        <bgColor rgb="FF000000"/>
      </patternFill>
    </fill>
    <fill>
      <patternFill patternType="solid">
        <fgColor rgb="FFC6D9F0"/>
        <bgColor rgb="FF000000"/>
      </patternFill>
    </fill>
    <fill>
      <patternFill patternType="solid">
        <fgColor rgb="FFDAEEF3"/>
        <bgColor rgb="FFFFFFFF"/>
      </patternFill>
    </fill>
    <fill>
      <patternFill patternType="solid">
        <fgColor rgb="FFC6D9F0"/>
        <bgColor rgb="FFFFFFFF"/>
      </patternFill>
    </fill>
    <fill>
      <patternFill patternType="solid">
        <fgColor rgb="FF4FB8D9"/>
        <bgColor rgb="FF000000"/>
      </patternFill>
    </fill>
    <fill>
      <patternFill patternType="solid">
        <fgColor theme="4" tint="0.799920651875362"/>
        <bgColor rgb="FF000000"/>
      </patternFill>
    </fill>
    <fill>
      <patternFill patternType="solid">
        <fgColor rgb="FFDBE5F1"/>
        <bgColor rgb="FF000000"/>
      </patternFill>
    </fill>
    <fill>
      <gradientFill type="linear">
        <stop position="0">
          <color theme="0"/>
        </stop>
        <stop position="1">
          <color rgb="FF99FFCC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rgb="FFFFFFFF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E9D9"/>
        <bgColor rgb="FFFFFFFF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double">
        <color theme="3" tint="0.599749748222297"/>
      </bottom>
      <diagonal/>
    </border>
    <border>
      <left style="double">
        <color theme="3" tint="0.599749748222297"/>
      </left>
      <right/>
      <top style="double">
        <color theme="3" tint="0.599749748222297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theme="4" tint="0.399975585192419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/>
      <bottom style="thin">
        <color theme="4" tint="0.399975585192419"/>
      </bottom>
      <diagonal/>
    </border>
    <border>
      <left/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45066682943"/>
      </right>
      <top/>
      <bottom/>
      <diagonal/>
    </border>
    <border>
      <left/>
      <right/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/>
      <right/>
      <top style="double">
        <color theme="3" tint="0.599749748222297"/>
      </top>
      <bottom/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theme="4" tint="0.399945066682943"/>
      </left>
      <right style="thin">
        <color theme="4" tint="0.399975585192419"/>
      </right>
      <top style="double">
        <color theme="3" tint="0.59974974822229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double">
        <color theme="3" tint="0.599749748222297"/>
      </top>
      <bottom style="thin">
        <color theme="3" tint="0.599749748222297"/>
      </bottom>
      <diagonal/>
    </border>
    <border>
      <left style="thin">
        <color theme="4" tint="0.399975585192419"/>
      </left>
      <right style="thin">
        <color theme="4" tint="0.399975585192419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thin">
        <color theme="3" tint="0.599749748222297"/>
      </top>
      <bottom style="thin">
        <color theme="3" tint="0.599749748222297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/>
      <diagonal/>
    </border>
    <border>
      <left/>
      <right style="thin">
        <color theme="4" tint="0.399975585192419"/>
      </right>
      <top style="thin">
        <color theme="3" tint="0.599749748222297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/>
      <bottom style="double">
        <color theme="3" tint="0.599749748222297"/>
      </bottom>
      <diagonal/>
    </border>
    <border>
      <left style="thin">
        <color theme="4" tint="0.399975585192419"/>
      </left>
      <right/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/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theme="3" tint="0.599749748222297"/>
      </right>
      <top/>
      <bottom/>
      <diagonal/>
    </border>
  </borders>
  <cellStyleXfs count="47">
    <xf numFmtId="0" fontId="0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5" fillId="13" borderId="3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40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1" fillId="0" borderId="0" applyAlignment="1">
      <alignment vertical="center"/>
    </xf>
    <xf numFmtId="0" fontId="22" fillId="14" borderId="42" applyAlignment="1">
      <alignment vertical="center"/>
    </xf>
    <xf numFmtId="0" fontId="23" fillId="15" borderId="43" applyAlignment="1">
      <alignment vertical="center"/>
    </xf>
    <xf numFmtId="0" fontId="24" fillId="15" borderId="42" applyAlignment="1">
      <alignment vertical="center"/>
    </xf>
    <xf numFmtId="0" fontId="25" fillId="16" borderId="44"/>
    <xf numFmtId="0" fontId="26" fillId="0" borderId="45" applyAlignment="1">
      <alignment vertical="center"/>
    </xf>
    <xf numFmtId="0" fontId="27" fillId="0" borderId="46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0" fillId="41" borderId="0"/>
    <xf numFmtId="0" fontId="32" fillId="42" borderId="0" applyAlignment="1">
      <alignment vertical="center"/>
    </xf>
    <xf numFmtId="0" fontId="31" fillId="43" borderId="0" applyAlignment="1">
      <alignment vertical="center"/>
    </xf>
  </cellStyleXfs>
  <cellXfs count="163"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44">
      <alignment horizontal="center" vertical="center"/>
    </xf>
    <xf numFmtId="0" fontId="3" fillId="2" borderId="1" applyAlignment="1" pivotButton="0" quotePrefix="0" xfId="44">
      <alignment vertical="center"/>
    </xf>
    <xf numFmtId="0" fontId="4" fillId="3" borderId="1" applyAlignment="1" pivotButton="0" quotePrefix="0" xfId="44">
      <alignment horizontal="center" vertical="center"/>
    </xf>
    <xf numFmtId="1" fontId="5" fillId="4" borderId="2" applyAlignment="1" pivotButton="0" quotePrefix="0" xfId="17">
      <alignment horizontal="center" vertical="center"/>
    </xf>
    <xf numFmtId="0" fontId="5" fillId="4" borderId="3" applyAlignment="1" pivotButton="0" quotePrefix="0" xfId="17">
      <alignment horizontal="center" vertical="center"/>
    </xf>
    <xf numFmtId="1" fontId="5" fillId="4" borderId="4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0" fontId="1" fillId="5" borderId="6" applyAlignment="1" applyProtection="1" pivotButton="0" quotePrefix="0" xfId="44">
      <alignment horizontal="center" vertical="center"/>
      <protection locked="0" hidden="0"/>
    </xf>
    <xf numFmtId="1" fontId="1" fillId="5" borderId="6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0" fontId="1" fillId="5" borderId="14" applyAlignment="1" applyProtection="1" pivotButton="0" quotePrefix="0" xfId="44">
      <alignment horizontal="center" vertical="center"/>
      <protection locked="0" hidden="0"/>
    </xf>
    <xf numFmtId="1" fontId="1" fillId="5" borderId="14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0" fontId="1" fillId="5" borderId="18" applyAlignment="1" applyProtection="1" pivotButton="0" quotePrefix="0" xfId="44">
      <alignment horizontal="center" vertical="center"/>
      <protection locked="0" hidden="0"/>
    </xf>
    <xf numFmtId="1" fontId="1" fillId="5" borderId="18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0" fontId="5" fillId="8" borderId="19" applyAlignment="1" pivotButton="0" quotePrefix="0" xfId="17">
      <alignment horizontal="center" vertical="center"/>
    </xf>
    <xf numFmtId="1" fontId="6" fillId="0" borderId="0" applyAlignment="1" pivotButton="0" quotePrefix="0" xfId="17">
      <alignment horizontal="center" vertical="center"/>
    </xf>
    <xf numFmtId="2" fontId="7" fillId="0" borderId="0" applyAlignment="1" pivotButton="0" quotePrefix="0" xfId="17">
      <alignment horizontal="center" vertical="center"/>
    </xf>
    <xf numFmtId="0" fontId="8" fillId="0" borderId="0" applyAlignment="1" pivotButton="0" quotePrefix="0" xfId="44">
      <alignment horizontal="center" vertical="center"/>
    </xf>
    <xf numFmtId="0" fontId="9" fillId="0" borderId="0" applyAlignment="1" pivotButton="0" quotePrefix="0" xfId="44">
      <alignment horizontal="left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20" fontId="1" fillId="0" borderId="0" applyAlignment="1" pivotButton="0" quotePrefix="0" xfId="44">
      <alignment horizontal="center" vertical="center"/>
    </xf>
    <xf numFmtId="2" fontId="11" fillId="0" borderId="0" applyAlignment="1" applyProtection="1" pivotButton="0" quotePrefix="0" xfId="44">
      <alignment horizontal="center" vertical="center"/>
      <protection locked="0" hidden="0"/>
    </xf>
    <xf numFmtId="1" fontId="12" fillId="0" borderId="0" applyAlignment="1" pivotButton="0" quotePrefix="0" xfId="17">
      <alignment vertical="center"/>
    </xf>
    <xf numFmtId="166" fontId="5" fillId="0" borderId="0" applyAlignment="1" pivotButton="0" quotePrefix="0" xfId="17">
      <alignment horizontal="center" vertical="center"/>
    </xf>
    <xf numFmtId="2" fontId="11" fillId="0" borderId="0" applyAlignment="1" pivotButton="0" quotePrefix="0" xfId="17">
      <alignment horizontal="center" vertical="center"/>
    </xf>
    <xf numFmtId="2" fontId="11" fillId="0" borderId="0" applyAlignment="1" pivotButton="0" quotePrefix="0" xfId="44">
      <alignment horizontal="center" vertical="center"/>
    </xf>
    <xf numFmtId="0" fontId="2" fillId="2" borderId="1" applyAlignment="1" pivotButton="0" quotePrefix="0" xfId="44">
      <alignment horizontal="center" vertical="center"/>
    </xf>
    <xf numFmtId="0" fontId="5" fillId="4" borderId="4" applyAlignment="1" pivotButton="0" quotePrefix="0" xfId="17">
      <alignment horizontal="center" vertical="center"/>
    </xf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0" fontId="1" fillId="0" borderId="0" applyAlignment="1" pivotButton="0" quotePrefix="0" xfId="44">
      <alignment horizontal="center" vertical="center"/>
    </xf>
    <xf numFmtId="166" fontId="1" fillId="0" borderId="0" applyAlignment="1" pivotButton="0" quotePrefix="0" xfId="44">
      <alignment horizontal="center" vertical="center"/>
    </xf>
    <xf numFmtId="0" fontId="2" fillId="2" borderId="31" applyAlignment="1" pivotButton="0" quotePrefix="0" xfId="44">
      <alignment horizontal="center" vertical="center"/>
    </xf>
    <xf numFmtId="0" fontId="0" fillId="11" borderId="0" pivotButton="0" quotePrefix="0" xfId="0"/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0" fontId="5" fillId="8" borderId="38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" fontId="5" fillId="0" borderId="0" applyAlignment="1" pivotButton="0" quotePrefix="0" xfId="17">
      <alignment vertical="center"/>
    </xf>
    <xf numFmtId="0" fontId="12" fillId="0" borderId="0" applyAlignment="1" pivotButton="0" quotePrefix="0" xfId="17">
      <alignment vertical="center"/>
    </xf>
    <xf numFmtId="0" fontId="12" fillId="0" borderId="0" applyAlignment="1" pivotButton="0" quotePrefix="0" xfId="17">
      <alignment horizontal="center" vertical="center"/>
    </xf>
    <xf numFmtId="0" fontId="5" fillId="0" borderId="0" applyAlignment="1" pivotButton="0" quotePrefix="0" xfId="17">
      <alignment vertical="center"/>
    </xf>
    <xf numFmtId="166" fontId="5" fillId="0" borderId="0" applyAlignment="1" pivotButton="0" quotePrefix="0" xfId="17">
      <alignment vertical="center"/>
    </xf>
    <xf numFmtId="1" fontId="5" fillId="0" borderId="0" applyAlignment="1" pivotButton="0" quotePrefix="0" xfId="17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2" fillId="0" borderId="0" applyAlignment="1" applyProtection="1" pivotButton="0" quotePrefix="0" xfId="44">
      <alignment horizontal="center" vertical="center"/>
      <protection locked="0" hidden="0"/>
    </xf>
    <xf numFmtId="0" fontId="3" fillId="0" borderId="0" applyAlignment="1" pivotButton="0" quotePrefix="0" xfId="44">
      <alignment vertical="center"/>
    </xf>
    <xf numFmtId="0" fontId="5" fillId="0" borderId="0" applyAlignment="1" pivotButton="0" quotePrefix="0" xfId="17">
      <alignment horizontal="center" vertical="center"/>
    </xf>
    <xf numFmtId="0" fontId="1" fillId="0" borderId="0" applyAlignment="1" applyProtection="1" pivotButton="0" quotePrefix="0" xfId="44">
      <alignment horizontal="center" vertical="center"/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0" fontId="1" fillId="12" borderId="0" applyAlignment="1" applyProtection="1" pivotButton="0" quotePrefix="0" xfId="44">
      <alignment horizontal="center" vertical="center"/>
      <protection locked="0" hidden="0"/>
    </xf>
    <xf numFmtId="1" fontId="1" fillId="12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5" fillId="0" borderId="0" applyAlignment="1" pivotButton="0" quotePrefix="0" xfId="17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1" pivotButton="0" quotePrefix="0" xfId="0"/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166" fontId="1" fillId="0" borderId="0" applyAlignment="1" pivotButton="0" quotePrefix="0" xfId="44">
      <alignment horizontal="center" vertical="center"/>
    </xf>
    <xf numFmtId="166" fontId="5" fillId="0" borderId="0" applyAlignment="1" pivotButton="0" quotePrefix="0" xfId="17">
      <alignment vertic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dxfs count="1">
    <dxf>
      <fill>
        <gradientFill type="linear" degree="90">
          <stop position="0">
            <color theme="0"/>
          </stop>
          <stop position="1">
            <color rgb="FFFFCCFF"/>
          </stop>
        </gradient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79"/>
  <sheetViews>
    <sheetView tabSelected="1"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I6" sqref="I6"/>
    </sheetView>
  </sheetViews>
  <sheetFormatPr baseColWidth="8" defaultColWidth="8.854545454545461" defaultRowHeight="14"/>
  <cols>
    <col width="8.709090909090911" customWidth="1" style="86" min="1" max="1"/>
    <col width="11.1363636363636" customWidth="1" style="86" min="2" max="2"/>
    <col width="8.709090909090911" customWidth="1" style="87" min="3" max="3"/>
    <col width="8.709090909090911" customWidth="1" style="86" min="4" max="5"/>
    <col width="11.1363636363636" customWidth="1" style="86" min="6" max="6"/>
    <col width="8.709090909090911" customWidth="1" style="102" min="7" max="7"/>
    <col width="8.854545454545461" customWidth="1" style="103" min="13" max="13"/>
  </cols>
  <sheetData>
    <row r="1" ht="18" customHeight="1">
      <c r="A1" s="90" t="n"/>
      <c r="B1" s="104" t="n"/>
      <c r="C1" s="104" t="n"/>
      <c r="D1" s="104" t="n"/>
      <c r="E1" s="91" t="n"/>
      <c r="F1" s="91" t="n"/>
      <c r="G1" s="91" t="n"/>
    </row>
    <row r="2" ht="18" customHeight="1">
      <c r="A2" s="92" t="n"/>
      <c r="B2" s="92" t="n"/>
      <c r="C2" s="85" t="n"/>
      <c r="D2" s="92" t="n"/>
      <c r="E2" s="85" t="n"/>
      <c r="F2" s="92" t="n"/>
      <c r="G2" s="85" t="n"/>
    </row>
    <row r="3" ht="18" customHeight="1">
      <c r="A3" s="93" t="n"/>
      <c r="B3" s="93" t="inlineStr">
        <is>
          <t>PRG/FLY</t>
        </is>
      </c>
      <c r="C3" s="105" t="n">
        <v>1010</v>
      </c>
      <c r="D3" s="93">
        <f>IFERROR(VLOOKUP(C3,DATA!$A:$E,2,0),"")</f>
        <v/>
      </c>
      <c r="E3" s="95">
        <f>IFERROR(VLOOKUP(C3,DATA!$A:$E,3,0),"")</f>
        <v/>
      </c>
      <c r="F3" s="106">
        <f>IF(OR(B3="PRG/FLY",B3="PRG/TVL",B3="FLY1",B3="TVL1",B3="PRG/FLY-CO",B3="PRG/TVL-CO",B3="FLY1-CO",B3="TVL1-CO"),IF(IFERROR(1/(1/F3),"")="",TODAY()+VLOOKUP(C3,DATA!$A:$E,4,0),F3),"")</f>
        <v/>
      </c>
      <c r="G3" s="103" t="n">
        <v>0.05208333333333334</v>
      </c>
      <c r="M3" s="103" t="n">
        <v>0.05416666666666667</v>
      </c>
    </row>
    <row r="4" ht="18" customHeight="1">
      <c r="A4" s="93" t="n"/>
      <c r="B4" s="93" t="inlineStr">
        <is>
          <t>FLY</t>
        </is>
      </c>
      <c r="C4" s="105" t="n">
        <v>1015</v>
      </c>
      <c r="D4" s="93">
        <f>IFERROR(VLOOKUP(C4,DATA!$A:$E,2,0),"")</f>
        <v/>
      </c>
      <c r="E4" s="95">
        <f>IFERROR(VLOOKUP(C4,DATA!$A:$E,3,0),"")</f>
        <v/>
      </c>
      <c r="F4" s="106">
        <f>IF(OR(B4="PRG/FLY",B4="PRG/TVL",B4="FLY1",B4="TVL1",B4="PRG/FLY-CO",B4="PRG/TVL-CO",B4="FLY1-CO",B4="TVL1-CO"),IF(IFERROR(1/(1/F4),"")="",TODAY()+VLOOKUP(C4,DATA!$A:$E,4,0),F4),"")</f>
        <v/>
      </c>
      <c r="G4" s="103" t="n">
        <v>0.03819444444444445</v>
      </c>
      <c r="M4" s="103" t="n">
        <v>0.04097222222222222</v>
      </c>
    </row>
    <row r="5" ht="18" customHeight="1">
      <c r="A5" s="93" t="n"/>
      <c r="B5" s="93" t="inlineStr">
        <is>
          <t>FLY</t>
        </is>
      </c>
      <c r="C5" s="105" t="n">
        <v>1013</v>
      </c>
      <c r="D5" s="97">
        <f>IFERROR(VLOOKUP(C5,DATA!$A:$E,2,0),"")</f>
        <v/>
      </c>
      <c r="E5" s="98" t="inlineStr">
        <is>
          <t>AAA</t>
        </is>
      </c>
      <c r="F5" s="106">
        <f>IF(OR(B5="PRG/FLY",B5="PRG/TVL",B5="FLY1",B5="TVL1",B5="PRG/FLY-CO",B5="PRG/TVL-CO",B5="FLY1-CO",B5="TVL1-CO"),IF(IFERROR(1/(1/F5),"")="",TODAY()+VLOOKUP(C5,DATA!$A:$E,4,0),F5),"")</f>
        <v/>
      </c>
      <c r="G5" s="107" t="n">
        <v>0.05625</v>
      </c>
      <c r="M5" s="107" t="n">
        <v>0.05625</v>
      </c>
    </row>
    <row r="6" ht="18" customHeight="1">
      <c r="A6" s="93" t="n"/>
      <c r="B6" s="93" t="n"/>
      <c r="C6" s="105" t="n"/>
      <c r="D6" s="93">
        <f>IFERROR(VLOOKUP(C6,DATA!$A:$E,2,0),"")</f>
        <v/>
      </c>
      <c r="E6" s="95">
        <f>IFERROR(VLOOKUP(C6,DATA!$A:$E,3,0),"")</f>
        <v/>
      </c>
      <c r="F6" s="106">
        <f>IF(OR(B6="PRG/FLY",B6="PRG/TVL",B6="FLY1",B6="TVL1",B6="PRG/FLY-CO",B6="PRG/TVL-CO",B6="FLY1-CO",B6="TVL1-CO"),IF(IFERROR(1/(1/F6),"")="",TODAY()+VLOOKUP(C6,DATA!$A:$E,4,0),F6),"")</f>
        <v/>
      </c>
      <c r="G6" s="103" t="n"/>
    </row>
    <row r="7" ht="18" customHeight="1">
      <c r="A7" s="93" t="n"/>
      <c r="B7" s="93" t="n"/>
      <c r="C7" s="105" t="n"/>
      <c r="D7" s="93">
        <f>IFERROR(VLOOKUP(C7,DATA!$A:$E,2,0),"")</f>
        <v/>
      </c>
      <c r="E7" s="95">
        <f>IFERROR(VLOOKUP(C7,DATA!$A:$E,3,0),"")</f>
        <v/>
      </c>
      <c r="F7" s="106">
        <f>IF(OR(B7="PRG/FLY",B7="PRG/TVL",B7="FLY1",B7="TVL1",B7="PRG/FLY-CO",B7="PRG/TVL-CO",B7="FLY1-CO",B7="TVL1-CO"),IF(IFERROR(1/(1/F7),"")="",TODAY()+VLOOKUP(C7,DATA!$A:$E,4,0),F7),"")</f>
        <v/>
      </c>
      <c r="G7" s="103" t="n"/>
    </row>
    <row r="8" ht="18" customHeight="1">
      <c r="A8" s="93" t="n"/>
      <c r="B8" s="93" t="n"/>
      <c r="C8" s="105" t="n"/>
      <c r="D8" s="93">
        <f>IFERROR(VLOOKUP(C8,DATA!$A:$E,2,0),"")</f>
        <v/>
      </c>
      <c r="E8" s="95">
        <f>IFERROR(VLOOKUP(C8,DATA!$A:$E,3,0),"")</f>
        <v/>
      </c>
      <c r="F8" s="106">
        <f>IF(OR(B8="PRG/FLY",B8="PRG/TVL",B8="FLY1",B8="TVL1",B8="PRG/FLY-CO",B8="PRG/TVL-CO",B8="FLY1-CO",B8="TVL1-CO"),IF(IFERROR(1/(1/F8),"")="",TODAY()+VLOOKUP(C8,DATA!$A:$E,4,0),F8),"")</f>
        <v/>
      </c>
      <c r="G8" s="103" t="n"/>
    </row>
    <row r="9" ht="18" customHeight="1">
      <c r="A9" s="93" t="n"/>
      <c r="B9" s="93" t="n"/>
      <c r="C9" s="105" t="n"/>
      <c r="D9" s="93">
        <f>IFERROR(VLOOKUP(C9,DATA!$A:$E,2,0),"")</f>
        <v/>
      </c>
      <c r="E9" s="95">
        <f>IFERROR(VLOOKUP(C9,DATA!$A:$E,3,0),"")</f>
        <v/>
      </c>
      <c r="F9" s="106">
        <f>IF(OR(B9="PRG/FLY",B9="PRG/TVL",B9="FLY1",B9="TVL1",B9="PRG/FLY-CO",B9="PRG/TVL-CO",B9="FLY1-CO",B9="TVL1-CO"),IF(IFERROR(1/(1/F9),"")="",TODAY()+VLOOKUP(C9,DATA!$A:$E,4,0),F9),"")</f>
        <v/>
      </c>
      <c r="G9" s="103" t="n"/>
    </row>
    <row r="10" ht="18" customHeight="1">
      <c r="A10" s="93" t="n"/>
      <c r="B10" s="93" t="n"/>
      <c r="C10" s="105" t="n"/>
      <c r="D10" s="93">
        <f>IFERROR(VLOOKUP(C10,DATA!$A:$E,2,0),"")</f>
        <v/>
      </c>
      <c r="E10" s="95">
        <f>IFERROR(VLOOKUP(C10,DATA!$A:$E,3,0),"")</f>
        <v/>
      </c>
      <c r="F10" s="106">
        <f>IF(OR(B10="PRG/FLY",B10="PRG/TVL",B10="FLY1",B10="TVL1",B10="PRG/FLY-CO",B10="PRG/TVL-CO",B10="FLY1-CO",B10="TVL1-CO"),IF(IFERROR(1/(1/F10),"")="",TODAY()+VLOOKUP(C10,DATA!$A:$E,4,0),F10),"")</f>
        <v/>
      </c>
      <c r="G10" s="103" t="n"/>
    </row>
    <row r="11" ht="18" customHeight="1">
      <c r="A11" s="93" t="n"/>
      <c r="B11" s="93" t="n"/>
      <c r="C11" s="105" t="n"/>
      <c r="D11" s="93">
        <f>IFERROR(VLOOKUP(C11,DATA!$A:$E,2,0),"")</f>
        <v/>
      </c>
      <c r="E11" s="95">
        <f>IFERROR(VLOOKUP(C11,DATA!$A:$E,3,0),"")</f>
        <v/>
      </c>
      <c r="F11" s="106">
        <f>IF(OR(B11="PRG/FLY",B11="PRG/TVL",B11="FLY1",B11="TVL1",B11="PRG/FLY-CO",B11="PRG/TVL-CO",B11="FLY1-CO",B11="TVL1-CO"),IF(IFERROR(1/(1/F11),"")="",TODAY()+VLOOKUP(C11,DATA!$A:$E,4,0),F11),"")</f>
        <v/>
      </c>
      <c r="G11" s="103" t="n"/>
    </row>
    <row r="12" ht="18" customHeight="1">
      <c r="A12" s="93" t="n"/>
      <c r="B12" s="93" t="n"/>
      <c r="C12" s="105" t="n"/>
      <c r="D12" s="93">
        <f>IFERROR(VLOOKUP(C12,DATA!$A:$E,2,0),"")</f>
        <v/>
      </c>
      <c r="E12" s="95">
        <f>IFERROR(VLOOKUP(C12,DATA!$A:$E,3,0),"")</f>
        <v/>
      </c>
      <c r="F12" s="106">
        <f>IF(OR(B12="PRG/FLY",B12="PRG/TVL",B12="FLY1",B12="TVL1",B12="PRG/FLY-CO",B12="PRG/TVL-CO",B12="FLY1-CO",B12="TVL1-CO"),IF(IFERROR(1/(1/F12),"")="",TODAY()+VLOOKUP(C12,DATA!$A:$E,4,0),F12),"")</f>
        <v/>
      </c>
      <c r="G12" s="103" t="n"/>
    </row>
    <row r="13" ht="18" customHeight="1">
      <c r="A13" s="93" t="n"/>
      <c r="B13" s="93" t="n"/>
      <c r="C13" s="105" t="n"/>
      <c r="D13" s="93">
        <f>IFERROR(VLOOKUP(C13,DATA!$A:$E,2,0),"")</f>
        <v/>
      </c>
      <c r="E13" s="95">
        <f>IFERROR(VLOOKUP(C13,DATA!$A:$E,3,0),"")</f>
        <v/>
      </c>
      <c r="F13" s="106">
        <f>IF(OR(B13="PRG/FLY",B13="PRG/TVL",B13="FLY1",B13="TVL1",B13="PRG/FLY-CO",B13="PRG/TVL-CO",B13="FLY1-CO",B13="TVL1-CO"),IF(IFERROR(1/(1/F13),"")="",TODAY()+VLOOKUP(C13,DATA!$A:$E,4,0),F13),"")</f>
        <v/>
      </c>
      <c r="G13" s="103" t="n"/>
    </row>
    <row r="14" ht="18" customHeight="1">
      <c r="A14" s="93" t="n"/>
      <c r="B14" s="93" t="n"/>
      <c r="C14" s="105" t="n"/>
      <c r="D14" s="93">
        <f>IFERROR(VLOOKUP(C14,DATA!$A:$E,2,0),"")</f>
        <v/>
      </c>
      <c r="E14" s="95">
        <f>IFERROR(VLOOKUP(C14,DATA!$A:$E,3,0),"")</f>
        <v/>
      </c>
      <c r="F14" s="106">
        <f>IF(OR(B14="PRG/FLY",B14="PRG/TVL",B14="FLY1",B14="TVL1",B14="PRG/FLY-CO",B14="PRG/TVL-CO",B14="FLY1-CO",B14="TVL1-CO"),IF(IFERROR(1/(1/F14),"")="",TODAY()+VLOOKUP(C14,DATA!$A:$E,4,0),F14),"")</f>
        <v/>
      </c>
      <c r="G14" s="103" t="n"/>
    </row>
    <row r="15" ht="18" customHeight="1">
      <c r="A15" s="93" t="n"/>
      <c r="B15" s="93" t="n"/>
      <c r="C15" s="105" t="n"/>
      <c r="D15" s="93">
        <f>IFERROR(VLOOKUP(C15,DATA!$A:$E,2,0),"")</f>
        <v/>
      </c>
      <c r="E15" s="95">
        <f>IFERROR(VLOOKUP(C15,DATA!$A:$E,3,0),"")</f>
        <v/>
      </c>
      <c r="F15" s="106">
        <f>IF(OR(B15="PRG/FLY",B15="PRG/TVL",B15="FLY1",B15="TVL1",B15="PRG/FLY-CO",B15="PRG/TVL-CO",B15="FLY1-CO",B15="TVL1-CO"),IF(IFERROR(1/(1/F15),"")="",TODAY()+VLOOKUP(C15,DATA!$A:$E,4,0),F15),"")</f>
        <v/>
      </c>
      <c r="G15" s="103" t="n"/>
    </row>
    <row r="16" ht="18" customHeight="1">
      <c r="A16" s="93" t="n"/>
      <c r="B16" s="93" t="n"/>
      <c r="C16" s="105" t="n"/>
      <c r="D16" s="93">
        <f>IFERROR(VLOOKUP(C16,DATA!$A:$E,2,0),"")</f>
        <v/>
      </c>
      <c r="E16" s="95">
        <f>IFERROR(VLOOKUP(C16,DATA!$A:$E,3,0),"")</f>
        <v/>
      </c>
      <c r="F16" s="106">
        <f>IF(OR(B16="PRG/FLY",B16="PRG/TVL",B16="FLY1",B16="TVL1",B16="PRG/FLY-CO",B16="PRG/TVL-CO",B16="FLY1-CO",B16="TVL1-CO"),IF(IFERROR(1/(1/F16),"")="",TODAY()+VLOOKUP(C16,DATA!$A:$E,4,0),F16),"")</f>
        <v/>
      </c>
      <c r="G16" s="103" t="n"/>
    </row>
    <row r="17" ht="18" customHeight="1">
      <c r="A17" s="93" t="n"/>
      <c r="B17" s="93" t="n"/>
      <c r="C17" s="105" t="n"/>
      <c r="D17" s="93">
        <f>IFERROR(VLOOKUP(C17,DATA!$A:$E,2,0),"")</f>
        <v/>
      </c>
      <c r="E17" s="95">
        <f>IFERROR(VLOOKUP(C17,DATA!$A:$E,3,0),"")</f>
        <v/>
      </c>
      <c r="F17" s="106">
        <f>IF(OR(B17="PRG/FLY",B17="PRG/TVL",B17="FLY1",B17="TVL1",B17="PRG/FLY-CO",B17="PRG/TVL-CO",B17="FLY1-CO",B17="TVL1-CO"),IF(IFERROR(1/(1/F17),"")="",TODAY()+VLOOKUP(C17,DATA!$A:$E,4,0),F17),"")</f>
        <v/>
      </c>
      <c r="G17" s="103" t="n"/>
    </row>
    <row r="18" ht="18" customHeight="1">
      <c r="A18" s="93" t="n"/>
      <c r="B18" s="93" t="n"/>
      <c r="C18" s="105" t="n"/>
      <c r="D18" s="93">
        <f>IFERROR(VLOOKUP(C18,DATA!$A:$E,2,0),"")</f>
        <v/>
      </c>
      <c r="E18" s="95">
        <f>IFERROR(VLOOKUP(C18,DATA!$A:$E,3,0),"")</f>
        <v/>
      </c>
      <c r="F18" s="106">
        <f>IF(OR(B18="PRG/FLY",B18="PRG/TVL",B18="FLY1",B18="TVL1",B18="PRG/FLY-CO",B18="PRG/TVL-CO",B18="FLY1-CO",B18="TVL1-CO"),IF(IFERROR(1/(1/F18),"")="",TODAY()+VLOOKUP(C18,DATA!$A:$E,4,0),F18),"")</f>
        <v/>
      </c>
      <c r="G18" s="103" t="n"/>
    </row>
    <row r="19" ht="18" customHeight="1">
      <c r="A19" s="93" t="n"/>
      <c r="B19" s="93" t="n"/>
      <c r="C19" s="105" t="n"/>
      <c r="D19" s="93">
        <f>IFERROR(VLOOKUP(C19,DATA!$A:$E,2,0),"")</f>
        <v/>
      </c>
      <c r="E19" s="95">
        <f>IFERROR(VLOOKUP(C19,DATA!$A:$E,3,0),"")</f>
        <v/>
      </c>
      <c r="F19" s="106">
        <f>IF(OR(B19="PRG/FLY",B19="PRG/TVL",B19="FLY1",B19="TVL1",B19="PRG/FLY-CO",B19="PRG/TVL-CO",B19="FLY1-CO",B19="TVL1-CO"),IF(IFERROR(1/(1/F19),"")="",TODAY()+VLOOKUP(C19,DATA!$A:$E,4,0),F19),"")</f>
        <v/>
      </c>
      <c r="G19" s="103" t="n"/>
    </row>
    <row r="20" ht="18" customHeight="1">
      <c r="A20" s="93" t="n"/>
      <c r="B20" s="93" t="n"/>
      <c r="C20" s="105" t="n"/>
      <c r="D20" s="93">
        <f>IFERROR(VLOOKUP(C20,DATA!$A:$E,2,0),"")</f>
        <v/>
      </c>
      <c r="E20" s="95">
        <f>IFERROR(VLOOKUP(C20,DATA!$A:$E,3,0),"")</f>
        <v/>
      </c>
      <c r="F20" s="106">
        <f>IF(OR(B20="PRG/FLY",B20="PRG/TVL",B20="FLY1",B20="TVL1",B20="PRG/FLY-CO",B20="PRG/TVL-CO",B20="FLY1-CO",B20="TVL1-CO"),IF(IFERROR(1/(1/F20),"")="",TODAY()+VLOOKUP(C20,DATA!$A:$E,4,0),F20),"")</f>
        <v/>
      </c>
      <c r="G20" s="103" t="n"/>
    </row>
    <row r="21" ht="18" customHeight="1">
      <c r="A21" s="93" t="n"/>
      <c r="B21" s="93" t="n"/>
      <c r="C21" s="105" t="n"/>
      <c r="D21" s="93">
        <f>IFERROR(VLOOKUP(C21,DATA!$A:$E,2,0),"")</f>
        <v/>
      </c>
      <c r="E21" s="95">
        <f>IFERROR(VLOOKUP(C21,DATA!$A:$E,3,0),"")</f>
        <v/>
      </c>
      <c r="F21" s="106">
        <f>IF(OR(B21="PRG/FLY",B21="PRG/TVL",B21="FLY1",B21="TVL1",B21="PRG/FLY-CO",B21="PRG/TVL-CO",B21="FLY1-CO",B21="TVL1-CO"),IF(IFERROR(1/(1/F21),"")="",TODAY()+VLOOKUP(C21,DATA!$A:$E,4,0),F21),"")</f>
        <v/>
      </c>
      <c r="G21" s="103" t="n"/>
    </row>
    <row r="22" ht="18" customHeight="1">
      <c r="A22" s="93" t="n"/>
      <c r="B22" s="93" t="n"/>
      <c r="C22" s="105" t="n"/>
      <c r="D22" s="93">
        <f>IFERROR(VLOOKUP(C22,DATA!$A:$E,2,0),"")</f>
        <v/>
      </c>
      <c r="E22" s="95">
        <f>IFERROR(VLOOKUP(C22,DATA!$A:$E,3,0),"")</f>
        <v/>
      </c>
      <c r="F22" s="106">
        <f>IF(OR(B22="PRG/FLY",B22="PRG/TVL",B22="FLY1",B22="TVL1",B22="PRG/FLY-CO",B22="PRG/TVL-CO",B22="FLY1-CO",B22="TVL1-CO"),IF(IFERROR(1/(1/F22),"")="",TODAY()+VLOOKUP(C22,DATA!$A:$E,4,0),F22),"")</f>
        <v/>
      </c>
      <c r="G22" s="103" t="n"/>
    </row>
    <row r="23" ht="18" customHeight="1">
      <c r="A23" s="93" t="n"/>
      <c r="B23" s="93" t="n"/>
      <c r="C23" s="105" t="n"/>
      <c r="D23" s="93">
        <f>IFERROR(VLOOKUP(C23,DATA!$A:$E,2,0),"")</f>
        <v/>
      </c>
      <c r="E23" s="95">
        <f>IFERROR(VLOOKUP(C23,DATA!$A:$E,3,0),"")</f>
        <v/>
      </c>
      <c r="F23" s="106">
        <f>IF(OR(B23="PRG/FLY",B23="PRG/TVL",B23="FLY1",B23="TVL1",B23="PRG/FLY-CO",B23="PRG/TVL-CO",B23="FLY1-CO",B23="TVL1-CO"),IF(IFERROR(1/(1/F23),"")="",TODAY()+VLOOKUP(C23,DATA!$A:$E,4,0),F23),"")</f>
        <v/>
      </c>
      <c r="G23" s="103" t="n"/>
    </row>
    <row r="24" ht="18" customHeight="1">
      <c r="A24" s="93" t="n"/>
      <c r="B24" s="93" t="n"/>
      <c r="C24" s="105" t="n"/>
      <c r="D24" s="93">
        <f>IFERROR(VLOOKUP(C24,DATA!$A:$E,2,0),"")</f>
        <v/>
      </c>
      <c r="E24" s="95">
        <f>IFERROR(VLOOKUP(C24,DATA!$A:$E,3,0),"")</f>
        <v/>
      </c>
      <c r="F24" s="106">
        <f>IF(OR(B24="PRG/FLY",B24="PRG/TVL",B24="FLY1",B24="TVL1",B24="PRG/FLY-CO",B24="PRG/TVL-CO",B24="FLY1-CO",B24="TVL1-CO"),IF(IFERROR(1/(1/F24),"")="",TODAY()+VLOOKUP(C24,DATA!$A:$E,4,0),F24),"")</f>
        <v/>
      </c>
      <c r="G24" s="103" t="n"/>
    </row>
    <row r="25" ht="18" customHeight="1">
      <c r="A25" s="93" t="n"/>
      <c r="B25" s="93" t="n"/>
      <c r="C25" s="105" t="n"/>
      <c r="D25" s="93">
        <f>IFERROR(VLOOKUP(C25,DATA!$A:$E,2,0),"")</f>
        <v/>
      </c>
      <c r="E25" s="95">
        <f>IFERROR(VLOOKUP(C25,DATA!$A:$E,3,0),"")</f>
        <v/>
      </c>
      <c r="F25" s="106">
        <f>IF(OR(B25="PRG/FLY",B25="PRG/TVL",B25="FLY1",B25="TVL1",B25="PRG/FLY-CO",B25="PRG/TVL-CO",B25="FLY1-CO",B25="TVL1-CO"),IF(IFERROR(1/(1/F25),"")="",TODAY()+VLOOKUP(C25,DATA!$A:$E,4,0),F25),"")</f>
        <v/>
      </c>
      <c r="G25" s="103" t="n"/>
    </row>
    <row r="26" ht="18" customHeight="1">
      <c r="A26" s="93" t="n"/>
      <c r="B26" s="93" t="n"/>
      <c r="C26" s="105" t="n"/>
      <c r="D26" s="93">
        <f>IFERROR(VLOOKUP(C26,DATA!$A:$E,2,0),"")</f>
        <v/>
      </c>
      <c r="E26" s="95">
        <f>IFERROR(VLOOKUP(C26,DATA!$A:$E,3,0),"")</f>
        <v/>
      </c>
      <c r="F26" s="106">
        <f>IF(OR(B26="PRG/FLY",B26="PRG/TVL",B26="FLY1",B26="TVL1",B26="PRG/FLY-CO",B26="PRG/TVL-CO",B26="FLY1-CO",B26="TVL1-CO"),IF(IFERROR(1/(1/F26),"")="",TODAY()+VLOOKUP(C26,DATA!$A:$E,4,0),F26),"")</f>
        <v/>
      </c>
      <c r="G26" s="103" t="n"/>
    </row>
    <row r="27" ht="18" customHeight="1">
      <c r="A27" s="93" t="n"/>
      <c r="B27" s="93" t="n"/>
      <c r="C27" s="105" t="n"/>
      <c r="D27" s="93">
        <f>IFERROR(VLOOKUP(C27,DATA!$A:$E,2,0),"")</f>
        <v/>
      </c>
      <c r="E27" s="95">
        <f>IFERROR(VLOOKUP(C27,DATA!$A:$E,3,0),"")</f>
        <v/>
      </c>
      <c r="F27" s="106">
        <f>IF(OR(B27="PRG/FLY",B27="PRG/TVL",B27="FLY1",B27="TVL1",B27="PRG/FLY-CO",B27="PRG/TVL-CO",B27="FLY1-CO",B27="TVL1-CO"),IF(IFERROR(1/(1/F27),"")="",TODAY()+VLOOKUP(C27,DATA!$A:$E,4,0),F27),"")</f>
        <v/>
      </c>
      <c r="G27" s="103" t="n"/>
    </row>
    <row r="28" ht="18" customHeight="1">
      <c r="A28" s="93" t="n"/>
      <c r="B28" s="93" t="n"/>
      <c r="C28" s="105" t="n"/>
      <c r="D28" s="93">
        <f>IFERROR(VLOOKUP(C28,DATA!$A:$E,2,0),"")</f>
        <v/>
      </c>
      <c r="E28" s="95">
        <f>IFERROR(VLOOKUP(C28,DATA!$A:$E,3,0),"")</f>
        <v/>
      </c>
      <c r="F28" s="106">
        <f>IF(OR(B28="PRG/FLY",B28="PRG/TVL",B28="FLY1",B28="TVL1",B28="PRG/FLY-CO",B28="PRG/TVL-CO",B28="FLY1-CO",B28="TVL1-CO"),IF(IFERROR(1/(1/F28),"")="",TODAY()+VLOOKUP(C28,DATA!$A:$E,4,0),F28),"")</f>
        <v/>
      </c>
      <c r="G28" s="103" t="n"/>
    </row>
    <row r="29" ht="18" customHeight="1">
      <c r="A29" s="93" t="n"/>
      <c r="B29" s="93" t="n"/>
      <c r="C29" s="105" t="n"/>
      <c r="D29" s="93">
        <f>IFERROR(VLOOKUP(C29,DATA!$A:$E,2,0),"")</f>
        <v/>
      </c>
      <c r="E29" s="95">
        <f>IFERROR(VLOOKUP(C29,DATA!$A:$E,3,0),"")</f>
        <v/>
      </c>
      <c r="F29" s="106">
        <f>IF(OR(B29="PRG/FLY",B29="PRG/TVL",B29="FLY1",B29="TVL1",B29="PRG/FLY-CO",B29="PRG/TVL-CO",B29="FLY1-CO",B29="TVL1-CO"),IF(IFERROR(1/(1/F29),"")="",TODAY()+VLOOKUP(C29,DATA!$A:$E,4,0),F29),"")</f>
        <v/>
      </c>
      <c r="G29" s="103" t="n"/>
    </row>
    <row r="30" ht="18" customHeight="1">
      <c r="A30" s="93" t="n"/>
      <c r="B30" s="93" t="n"/>
      <c r="C30" s="105" t="n"/>
      <c r="D30" s="93">
        <f>IFERROR(VLOOKUP(C30,DATA!$A:$E,2,0),"")</f>
        <v/>
      </c>
      <c r="E30" s="95">
        <f>IFERROR(VLOOKUP(C30,DATA!$A:$E,3,0),"")</f>
        <v/>
      </c>
      <c r="F30" s="106">
        <f>IF(OR(B30="PRG/FLY",B30="PRG/TVL",B30="FLY1",B30="TVL1",B30="PRG/FLY-CO",B30="PRG/TVL-CO",B30="FLY1-CO",B30="TVL1-CO"),IF(IFERROR(1/(1/F30),"")="",TODAY()+VLOOKUP(C30,DATA!$A:$E,4,0),F30),"")</f>
        <v/>
      </c>
      <c r="G30" s="103" t="n"/>
    </row>
    <row r="31" ht="18" customHeight="1">
      <c r="A31" s="93" t="n"/>
      <c r="B31" s="93" t="n"/>
      <c r="C31" s="105" t="n"/>
      <c r="D31" s="93">
        <f>IFERROR(VLOOKUP(C31,DATA!$A:$E,2,0),"")</f>
        <v/>
      </c>
      <c r="E31" s="95">
        <f>IFERROR(VLOOKUP(C31,DATA!$A:$E,3,0),"")</f>
        <v/>
      </c>
      <c r="F31" s="106">
        <f>IF(OR(B31="PRG/FLY",B31="PRG/TVL",B31="FLY1",B31="TVL1",B31="PRG/FLY-CO",B31="PRG/TVL-CO",B31="FLY1-CO",B31="TVL1-CO"),IF(IFERROR(1/(1/F31),"")="",TODAY()+VLOOKUP(C31,DATA!$A:$E,4,0),F31),"")</f>
        <v/>
      </c>
      <c r="G31" s="103" t="n"/>
    </row>
    <row r="32" ht="18" customHeight="1">
      <c r="A32" s="93" t="n"/>
      <c r="B32" s="93" t="n"/>
      <c r="C32" s="105" t="n"/>
      <c r="D32" s="93">
        <f>IFERROR(VLOOKUP(C32,DATA!$A:$E,2,0),"")</f>
        <v/>
      </c>
      <c r="E32" s="95">
        <f>IFERROR(VLOOKUP(C32,DATA!$A:$E,3,0),"")</f>
        <v/>
      </c>
      <c r="F32" s="106">
        <f>IF(OR(B32="PRG/FLY",B32="PRG/TVL",B32="FLY1",B32="TVL1",B32="PRG/FLY-CO",B32="PRG/TVL-CO",B32="FLY1-CO",B32="TVL1-CO"),IF(IFERROR(1/(1/F32),"")="",TODAY()+VLOOKUP(C32,DATA!$A:$E,4,0),F32),"")</f>
        <v/>
      </c>
      <c r="G32" s="103" t="n"/>
    </row>
    <row r="33" ht="18" customHeight="1">
      <c r="A33" s="93" t="n"/>
      <c r="B33" s="93" t="n"/>
      <c r="C33" s="105" t="n"/>
      <c r="D33" s="93">
        <f>IFERROR(VLOOKUP(C33,DATA!$A:$E,2,0),"")</f>
        <v/>
      </c>
      <c r="E33" s="95">
        <f>IFERROR(VLOOKUP(C33,DATA!$A:$E,3,0),"")</f>
        <v/>
      </c>
      <c r="F33" s="106">
        <f>IF(OR(B33="PRG/FLY",B33="PRG/TVL",B33="FLY1",B33="TVL1",B33="PRG/FLY-CO",B33="PRG/TVL-CO",B33="FLY1-CO",B33="TVL1-CO"),IF(IFERROR(1/(1/F33),"")="",TODAY()+VLOOKUP(C33,DATA!$A:$E,4,0),F33),"")</f>
        <v/>
      </c>
      <c r="G33" s="103" t="n"/>
    </row>
    <row r="34" ht="18" customHeight="1">
      <c r="A34" s="93" t="n"/>
      <c r="B34" s="93" t="n"/>
      <c r="C34" s="105" t="n"/>
      <c r="D34" s="93">
        <f>IFERROR(VLOOKUP(C34,DATA!$A:$E,2,0),"")</f>
        <v/>
      </c>
      <c r="E34" s="95">
        <f>IFERROR(VLOOKUP(C34,DATA!$A:$E,3,0),"")</f>
        <v/>
      </c>
      <c r="F34" s="106">
        <f>IF(OR(B34="PRG/FLY",B34="PRG/TVL",B34="FLY1",B34="TVL1",B34="PRG/FLY-CO",B34="PRG/TVL-CO",B34="FLY1-CO",B34="TVL1-CO"),IF(IFERROR(1/(1/F34),"")="",TODAY()+VLOOKUP(C34,DATA!$A:$E,4,0),F34),"")</f>
        <v/>
      </c>
      <c r="G34" s="103" t="n"/>
    </row>
    <row r="35" ht="18" customHeight="1">
      <c r="A35" s="93" t="n"/>
      <c r="B35" s="93" t="n"/>
      <c r="C35" s="105" t="n"/>
      <c r="D35" s="93">
        <f>IFERROR(VLOOKUP(C35,DATA!$A:$E,2,0),"")</f>
        <v/>
      </c>
      <c r="E35" s="95">
        <f>IFERROR(VLOOKUP(C35,DATA!$A:$E,3,0),"")</f>
        <v/>
      </c>
      <c r="F35" s="106">
        <f>IF(OR(B35="PRG/FLY",B35="PRG/TVL",B35="FLY1",B35="TVL1",B35="PRG/FLY-CO",B35="PRG/TVL-CO",B35="FLY1-CO",B35="TVL1-CO"),IF(IFERROR(1/(1/F35),"")="",TODAY()+VLOOKUP(C35,DATA!$A:$E,4,0),F35),"")</f>
        <v/>
      </c>
      <c r="G35" s="103" t="n"/>
    </row>
    <row r="36" ht="18" customHeight="1">
      <c r="A36" s="93" t="n"/>
      <c r="B36" s="93" t="n"/>
      <c r="C36" s="105" t="n"/>
      <c r="D36" s="93">
        <f>IFERROR(VLOOKUP(C36,DATA!$A:$E,2,0),"")</f>
        <v/>
      </c>
      <c r="E36" s="95">
        <f>IFERROR(VLOOKUP(C36,DATA!$A:$E,3,0),"")</f>
        <v/>
      </c>
      <c r="F36" s="106">
        <f>IF(OR(B36="PRG/FLY",B36="PRG/TVL",B36="FLY1",B36="TVL1",B36="PRG/FLY-CO",B36="PRG/TVL-CO",B36="FLY1-CO",B36="TVL1-CO"),IF(IFERROR(1/(1/F36),"")="",TODAY()+VLOOKUP(C36,DATA!$A:$E,4,0),F36),"")</f>
        <v/>
      </c>
      <c r="G36" s="103" t="n"/>
    </row>
    <row r="37" ht="18" customHeight="1">
      <c r="A37" s="93" t="n"/>
      <c r="B37" s="93" t="n"/>
      <c r="C37" s="105" t="n"/>
      <c r="D37" s="93">
        <f>IFERROR(VLOOKUP(C37,DATA!$A:$E,2,0),"")</f>
        <v/>
      </c>
      <c r="E37" s="95">
        <f>IFERROR(VLOOKUP(C37,DATA!$A:$E,3,0),"")</f>
        <v/>
      </c>
      <c r="F37" s="106">
        <f>IF(OR(B37="PRG/FLY",B37="PRG/TVL",B37="FLY1",B37="TVL1",B37="PRG/FLY-CO",B37="PRG/TVL-CO",B37="FLY1-CO",B37="TVL1-CO"),IF(IFERROR(1/(1/F37),"")="",TODAY()+VLOOKUP(C37,DATA!$A:$E,4,0),F37),"")</f>
        <v/>
      </c>
      <c r="G37" s="103" t="n"/>
    </row>
    <row r="38" ht="18" customHeight="1">
      <c r="A38" s="93" t="n"/>
      <c r="B38" s="93" t="n"/>
      <c r="C38" s="105" t="n"/>
      <c r="D38" s="93">
        <f>IFERROR(VLOOKUP(C38,DATA!$A:$E,2,0),"")</f>
        <v/>
      </c>
      <c r="E38" s="95">
        <f>IFERROR(VLOOKUP(C38,DATA!$A:$E,3,0),"")</f>
        <v/>
      </c>
      <c r="F38" s="106">
        <f>IF(OR(B38="PRG/FLY",B38="PRG/TVL",B38="FLY1",B38="TVL1",B38="PRG/FLY-CO",B38="PRG/TVL-CO",B38="FLY1-CO",B38="TVL1-CO"),IF(IFERROR(1/(1/F38),"")="",TODAY()+VLOOKUP(C38,DATA!$A:$E,4,0),F38),"")</f>
        <v/>
      </c>
      <c r="G38" s="103" t="n"/>
    </row>
    <row r="39" ht="18" customHeight="1">
      <c r="A39" s="93" t="n"/>
      <c r="B39" s="93" t="n"/>
      <c r="C39" s="105" t="n"/>
      <c r="D39" s="93">
        <f>IFERROR(VLOOKUP(C39,DATA!$A:$E,2,0),"")</f>
        <v/>
      </c>
      <c r="E39" s="95">
        <f>IFERROR(VLOOKUP(C39,DATA!$A:$E,3,0),"")</f>
        <v/>
      </c>
      <c r="F39" s="106">
        <f>IF(OR(B39="PRG/FLY",B39="PRG/TVL",B39="FLY1",B39="TVL1",B39="PRG/FLY-CO",B39="PRG/TVL-CO",B39="FLY1-CO",B39="TVL1-CO"),IF(IFERROR(1/(1/F39),"")="",TODAY()+VLOOKUP(C39,DATA!$A:$E,4,0),F39),"")</f>
        <v/>
      </c>
      <c r="G39" s="103" t="n"/>
    </row>
    <row r="40" ht="18" customHeight="1">
      <c r="A40" s="93" t="n"/>
      <c r="B40" s="93" t="n"/>
      <c r="C40" s="105" t="n"/>
      <c r="D40" s="93">
        <f>IFERROR(VLOOKUP(C40,DATA!$A:$E,2,0),"")</f>
        <v/>
      </c>
      <c r="E40" s="95">
        <f>IFERROR(VLOOKUP(C40,DATA!$A:$E,3,0),"")</f>
        <v/>
      </c>
      <c r="F40" s="106">
        <f>IF(OR(B40="PRG/FLY",B40="PRG/TVL",B40="FLY1",B40="TVL1",B40="PRG/FLY-CO",B40="PRG/TVL-CO",B40="FLY1-CO",B40="TVL1-CO"),IF(IFERROR(1/(1/F40),"")="",TODAY()+VLOOKUP(C40,DATA!$A:$E,4,0),F40),"")</f>
        <v/>
      </c>
      <c r="G40" s="103" t="n"/>
    </row>
    <row r="41" ht="18" customHeight="1">
      <c r="A41" s="93" t="n"/>
      <c r="B41" s="93" t="n"/>
      <c r="C41" s="105" t="n"/>
      <c r="D41" s="93">
        <f>IFERROR(VLOOKUP(C41,DATA!$A:$E,2,0),"")</f>
        <v/>
      </c>
      <c r="E41" s="95">
        <f>IFERROR(VLOOKUP(C41,DATA!$A:$E,3,0),"")</f>
        <v/>
      </c>
      <c r="F41" s="106">
        <f>IF(OR(B41="PRG/FLY",B41="PRG/TVL",B41="FLY1",B41="TVL1",B41="PRG/FLY-CO",B41="PRG/TVL-CO",B41="FLY1-CO",B41="TVL1-CO"),IF(IFERROR(1/(1/F41),"")="",TODAY()+VLOOKUP(C41,DATA!$A:$E,4,0),F41),"")</f>
        <v/>
      </c>
      <c r="G41" s="103" t="n"/>
    </row>
    <row r="42" ht="18" customHeight="1">
      <c r="A42" s="93" t="n"/>
      <c r="B42" s="93" t="n"/>
      <c r="C42" s="105" t="n"/>
      <c r="D42" s="93">
        <f>IFERROR(VLOOKUP(C42,DATA!$A:$E,2,0),"")</f>
        <v/>
      </c>
      <c r="E42" s="95">
        <f>IFERROR(VLOOKUP(C42,DATA!$A:$E,3,0),"")</f>
        <v/>
      </c>
      <c r="F42" s="106">
        <f>IF(OR(B42="PRG/FLY",B42="PRG/TVL",B42="FLY1",B42="TVL1",B42="PRG/FLY-CO",B42="PRG/TVL-CO",B42="FLY1-CO",B42="TVL1-CO"),IF(IFERROR(1/(1/F42),"")="",TODAY()+VLOOKUP(C42,DATA!$A:$E,4,0),F42),"")</f>
        <v/>
      </c>
      <c r="G42" s="103" t="n"/>
    </row>
    <row r="43" ht="18" customHeight="1">
      <c r="A43" s="93" t="n"/>
      <c r="B43" s="93" t="n"/>
      <c r="C43" s="105" t="n"/>
      <c r="D43" s="93">
        <f>IFERROR(VLOOKUP(C43,DATA!$A:$E,2,0),"")</f>
        <v/>
      </c>
      <c r="E43" s="95">
        <f>IFERROR(VLOOKUP(C43,DATA!$A:$E,3,0),"")</f>
        <v/>
      </c>
      <c r="F43" s="106">
        <f>IF(OR(B43="PRG/FLY",B43="PRG/TVL",B43="FLY1",B43="TVL1",B43="PRG/FLY-CO",B43="PRG/TVL-CO",B43="FLY1-CO",B43="TVL1-CO"),IF(IFERROR(1/(1/F43),"")="",TODAY()+VLOOKUP(C43,DATA!$A:$E,4,0),F43),"")</f>
        <v/>
      </c>
      <c r="G43" s="103" t="n"/>
    </row>
    <row r="44" ht="18" customHeight="1">
      <c r="A44" s="93" t="n"/>
      <c r="B44" s="93" t="n"/>
      <c r="C44" s="105" t="n"/>
      <c r="D44" s="93">
        <f>IFERROR(VLOOKUP(C44,DATA!$A:$E,2,0),"")</f>
        <v/>
      </c>
      <c r="E44" s="95">
        <f>IFERROR(VLOOKUP(C44,DATA!$A:$E,3,0),"")</f>
        <v/>
      </c>
      <c r="F44" s="106">
        <f>IF(OR(B44="PRG/FLY",B44="PRG/TVL",B44="FLY1",B44="TVL1",B44="PRG/FLY-CO",B44="PRG/TVL-CO",B44="FLY1-CO",B44="TVL1-CO"),IF(IFERROR(1/(1/F44),"")="",TODAY()+VLOOKUP(C44,DATA!$A:$E,4,0),F44),"")</f>
        <v/>
      </c>
      <c r="G44" s="103" t="n"/>
    </row>
    <row r="45" ht="18" customHeight="1">
      <c r="A45" s="93" t="n"/>
      <c r="B45" s="93" t="n"/>
      <c r="C45" s="105" t="n"/>
      <c r="D45" s="93">
        <f>IFERROR(VLOOKUP(C45,DATA!$A:$E,2,0),"")</f>
        <v/>
      </c>
      <c r="E45" s="95">
        <f>IFERROR(VLOOKUP(C45,DATA!$A:$E,3,0),"")</f>
        <v/>
      </c>
      <c r="F45" s="106">
        <f>IF(OR(B45="PRG/FLY",B45="PRG/TVL",B45="FLY1",B45="TVL1",B45="PRG/FLY-CO",B45="PRG/TVL-CO",B45="FLY1-CO",B45="TVL1-CO"),IF(IFERROR(1/(1/F45),"")="",TODAY()+VLOOKUP(C45,DATA!$A:$E,4,0),F45),"")</f>
        <v/>
      </c>
      <c r="G45" s="103" t="n"/>
    </row>
    <row r="46" ht="18" customHeight="1">
      <c r="A46" s="93" t="n"/>
      <c r="B46" s="93" t="n"/>
      <c r="C46" s="105" t="n"/>
      <c r="D46" s="93">
        <f>IFERROR(VLOOKUP(C46,DATA!$A:$E,2,0),"")</f>
        <v/>
      </c>
      <c r="E46" s="95">
        <f>IFERROR(VLOOKUP(C46,DATA!$A:$E,3,0),"")</f>
        <v/>
      </c>
      <c r="F46" s="106">
        <f>IF(OR(B46="PRG/FLY",B46="PRG/TVL",B46="FLY1",B46="TVL1",B46="PRG/FLY-CO",B46="PRG/TVL-CO",B46="FLY1-CO",B46="TVL1-CO"),IF(IFERROR(1/(1/F46),"")="",TODAY()+VLOOKUP(C46,DATA!$A:$E,4,0),F46),"")</f>
        <v/>
      </c>
      <c r="G46" s="103" t="n"/>
    </row>
    <row r="47" ht="18" customHeight="1">
      <c r="A47" s="93" t="n"/>
      <c r="B47" s="93" t="n"/>
      <c r="C47" s="105" t="n"/>
      <c r="D47" s="93">
        <f>IFERROR(VLOOKUP(C47,DATA!$A:$E,2,0),"")</f>
        <v/>
      </c>
      <c r="E47" s="95">
        <f>IFERROR(VLOOKUP(C47,DATA!$A:$E,3,0),"")</f>
        <v/>
      </c>
      <c r="F47" s="106">
        <f>IF(OR(B47="PRG/FLY",B47="PRG/TVL",B47="FLY1",B47="TVL1",B47="PRG/FLY-CO",B47="PRG/TVL-CO",B47="FLY1-CO",B47="TVL1-CO"),IF(IFERROR(1/(1/F47),"")="",TODAY()+VLOOKUP(C47,DATA!$A:$E,4,0),F47),"")</f>
        <v/>
      </c>
      <c r="G47" s="103" t="n"/>
    </row>
    <row r="48" ht="18" customHeight="1">
      <c r="A48" s="93" t="n"/>
      <c r="B48" s="93" t="n"/>
      <c r="C48" s="105" t="n"/>
      <c r="D48" s="93">
        <f>IFERROR(VLOOKUP(C48,DATA!$A:$E,2,0),"")</f>
        <v/>
      </c>
      <c r="E48" s="95">
        <f>IFERROR(VLOOKUP(C48,DATA!$A:$E,3,0),"")</f>
        <v/>
      </c>
      <c r="F48" s="106">
        <f>IF(OR(B48="PRG/FLY",B48="PRG/TVL",B48="FLY1",B48="TVL1",B48="PRG/FLY-CO",B48="PRG/TVL-CO",B48="FLY1-CO",B48="TVL1-CO"),IF(IFERROR(1/(1/F48),"")="",TODAY()+VLOOKUP(C48,DATA!$A:$E,4,0),F48),"")</f>
        <v/>
      </c>
      <c r="G48" s="103" t="n"/>
    </row>
    <row r="49" ht="18" customHeight="1">
      <c r="A49" s="93" t="n"/>
      <c r="B49" s="93" t="n"/>
      <c r="C49" s="105" t="n"/>
      <c r="D49" s="93">
        <f>IFERROR(VLOOKUP(C49,DATA!$A:$E,2,0),"")</f>
        <v/>
      </c>
      <c r="E49" s="95">
        <f>IFERROR(VLOOKUP(C49,DATA!$A:$E,3,0),"")</f>
        <v/>
      </c>
      <c r="F49" s="106">
        <f>IF(OR(B49="PRG/FLY",B49="PRG/TVL",B49="FLY1",B49="TVL1",B49="PRG/FLY-CO",B49="PRG/TVL-CO",B49="FLY1-CO",B49="TVL1-CO"),IF(IFERROR(1/(1/F49),"")="",TODAY()+VLOOKUP(C49,DATA!$A:$E,4,0),F49),"")</f>
        <v/>
      </c>
      <c r="G49" s="103" t="n"/>
    </row>
    <row r="50" ht="18" customHeight="1">
      <c r="A50" s="93" t="n"/>
      <c r="B50" s="93" t="n"/>
      <c r="C50" s="105" t="n"/>
      <c r="D50" s="93">
        <f>IFERROR(VLOOKUP(C50,DATA!$A:$E,2,0),"")</f>
        <v/>
      </c>
      <c r="E50" s="95">
        <f>IFERROR(VLOOKUP(C50,DATA!$A:$E,3,0),"")</f>
        <v/>
      </c>
      <c r="F50" s="106">
        <f>IF(OR(B50="PRG/FLY",B50="PRG/TVL",B50="FLY1",B50="TVL1",B50="PRG/FLY-CO",B50="PRG/TVL-CO",B50="FLY1-CO",B50="TVL1-CO"),IF(IFERROR(1/(1/F50),"")="",TODAY()+VLOOKUP(C50,DATA!$A:$E,4,0),F50),"")</f>
        <v/>
      </c>
      <c r="G50" s="103" t="n"/>
    </row>
    <row r="51" ht="18" customHeight="1">
      <c r="A51" s="93" t="n"/>
      <c r="B51" s="93" t="n"/>
      <c r="C51" s="105" t="n"/>
      <c r="D51" s="93">
        <f>IFERROR(VLOOKUP(C51,DATA!$A:$E,2,0),"")</f>
        <v/>
      </c>
      <c r="E51" s="95">
        <f>IFERROR(VLOOKUP(C51,DATA!$A:$E,3,0),"")</f>
        <v/>
      </c>
      <c r="F51" s="106">
        <f>IF(OR(B51="PRG/FLY",B51="PRG/TVL",B51="FLY1",B51="TVL1",B51="PRG/FLY-CO",B51="PRG/TVL-CO",B51="FLY1-CO",B51="TVL1-CO"),IF(IFERROR(1/(1/F51),"")="",TODAY()+VLOOKUP(C51,DATA!$A:$E,4,0),F51),"")</f>
        <v/>
      </c>
      <c r="G51" s="103" t="n"/>
    </row>
    <row r="52" ht="18" customHeight="1">
      <c r="A52" s="93" t="n"/>
      <c r="B52" s="93" t="n"/>
      <c r="C52" s="105" t="n"/>
      <c r="D52" s="93">
        <f>IFERROR(VLOOKUP(C52,DATA!$A:$E,2,0),"")</f>
        <v/>
      </c>
      <c r="E52" s="95">
        <f>IFERROR(VLOOKUP(C52,DATA!$A:$E,3,0),"")</f>
        <v/>
      </c>
      <c r="F52" s="106">
        <f>IF(OR(B52="PRG/FLY",B52="PRG/TVL",B52="FLY1",B52="TVL1",B52="PRG/FLY-CO",B52="PRG/TVL-CO",B52="FLY1-CO",B52="TVL1-CO"),IF(IFERROR(1/(1/F52),"")="",TODAY()+VLOOKUP(C52,DATA!$A:$E,4,0),F52),"")</f>
        <v/>
      </c>
      <c r="G52" s="103" t="n"/>
    </row>
    <row r="53" ht="18" customHeight="1">
      <c r="A53" s="93" t="n"/>
      <c r="B53" s="93" t="n"/>
      <c r="C53" s="105" t="n"/>
      <c r="D53" s="93">
        <f>IFERROR(VLOOKUP(C53,DATA!$A:$E,2,0),"")</f>
        <v/>
      </c>
      <c r="E53" s="95">
        <f>IFERROR(VLOOKUP(C53,DATA!$A:$E,3,0),"")</f>
        <v/>
      </c>
      <c r="F53" s="106">
        <f>IF(OR(B53="PRG/FLY",B53="PRG/TVL",B53="FLY1",B53="TVL1",B53="PRG/FLY-CO",B53="PRG/TVL-CO",B53="FLY1-CO",B53="TVL1-CO"),IF(IFERROR(1/(1/F53),"")="",TODAY()+VLOOKUP(C53,DATA!$A:$E,4,0),F53),"")</f>
        <v/>
      </c>
      <c r="G53" s="103" t="n"/>
    </row>
    <row r="54" ht="18" customHeight="1">
      <c r="A54" s="93" t="n"/>
      <c r="B54" s="93" t="n"/>
      <c r="C54" s="105" t="n"/>
      <c r="D54" s="93">
        <f>IFERROR(VLOOKUP(C54,DATA!$A:$E,2,0),"")</f>
        <v/>
      </c>
      <c r="E54" s="95">
        <f>IFERROR(VLOOKUP(C54,DATA!$A:$E,3,0),"")</f>
        <v/>
      </c>
      <c r="F54" s="106">
        <f>IF(OR(B54="PRG/FLY",B54="PRG/TVL",B54="FLY1",B54="TVL1",B54="PRG/FLY-CO",B54="PRG/TVL-CO",B54="FLY1-CO",B54="TVL1-CO"),IF(IFERROR(1/(1/F54),"")="",TODAY()+VLOOKUP(C54,DATA!$A:$E,4,0),F54),"")</f>
        <v/>
      </c>
      <c r="G54" s="103" t="n"/>
    </row>
    <row r="55" ht="18" customHeight="1">
      <c r="A55" s="93" t="n"/>
      <c r="B55" s="93" t="n"/>
      <c r="C55" s="105" t="n"/>
      <c r="D55" s="93">
        <f>IFERROR(VLOOKUP(C55,DATA!$A:$E,2,0),"")</f>
        <v/>
      </c>
      <c r="E55" s="95">
        <f>IFERROR(VLOOKUP(C55,DATA!$A:$E,3,0),"")</f>
        <v/>
      </c>
      <c r="F55" s="106">
        <f>IF(OR(B55="PRG/FLY",B55="PRG/TVL",B55="FLY1",B55="TVL1",B55="PRG/FLY-CO",B55="PRG/TVL-CO",B55="FLY1-CO",B55="TVL1-CO"),IF(IFERROR(1/(1/F55),"")="",TODAY()+VLOOKUP(C55,DATA!$A:$E,4,0),F55),"")</f>
        <v/>
      </c>
      <c r="G55" s="103" t="n"/>
    </row>
    <row r="56" ht="18" customHeight="1">
      <c r="A56" s="93" t="n"/>
      <c r="B56" s="93" t="n"/>
      <c r="C56" s="105" t="n"/>
      <c r="D56" s="93">
        <f>IFERROR(VLOOKUP(C56,DATA!$A:$E,2,0),"")</f>
        <v/>
      </c>
      <c r="E56" s="95">
        <f>IFERROR(VLOOKUP(C56,DATA!$A:$E,3,0),"")</f>
        <v/>
      </c>
      <c r="F56" s="106">
        <f>IF(OR(B56="PRG/FLY",B56="PRG/TVL",B56="FLY1",B56="TVL1",B56="PRG/FLY-CO",B56="PRG/TVL-CO",B56="FLY1-CO",B56="TVL1-CO"),IF(IFERROR(1/(1/F56),"")="",TODAY()+VLOOKUP(C56,DATA!$A:$E,4,0),F56),"")</f>
        <v/>
      </c>
      <c r="G56" s="103" t="n"/>
    </row>
    <row r="57" ht="18" customHeight="1">
      <c r="A57" s="93" t="n"/>
      <c r="B57" s="93" t="n"/>
      <c r="C57" s="105" t="n"/>
      <c r="D57" s="93">
        <f>IFERROR(VLOOKUP(C57,DATA!$A:$E,2,0),"")</f>
        <v/>
      </c>
      <c r="E57" s="95">
        <f>IFERROR(VLOOKUP(C57,DATA!$A:$E,3,0),"")</f>
        <v/>
      </c>
      <c r="F57" s="106">
        <f>IF(OR(B57="PRG/FLY",B57="PRG/TVL",B57="FLY1",B57="TVL1",B57="PRG/FLY-CO",B57="PRG/TVL-CO",B57="FLY1-CO",B57="TVL1-CO"),IF(IFERROR(1/(1/F57),"")="",TODAY()+VLOOKUP(C57,DATA!$A:$E,4,0),F57),"")</f>
        <v/>
      </c>
      <c r="G57" s="103" t="n"/>
    </row>
    <row r="58" ht="18" customHeight="1">
      <c r="A58" s="93" t="n"/>
      <c r="B58" s="93" t="n"/>
      <c r="C58" s="105" t="n"/>
      <c r="D58" s="93">
        <f>IFERROR(VLOOKUP(C58,DATA!$A:$E,2,0),"")</f>
        <v/>
      </c>
      <c r="E58" s="95">
        <f>IFERROR(VLOOKUP(C58,DATA!$A:$E,3,0),"")</f>
        <v/>
      </c>
      <c r="F58" s="106">
        <f>IF(OR(B58="PRG/FLY",B58="PRG/TVL",B58="FLY1",B58="TVL1",B58="PRG/FLY-CO",B58="PRG/TVL-CO",B58="FLY1-CO",B58="TVL1-CO"),IF(IFERROR(1/(1/F58),"")="",TODAY()+VLOOKUP(C58,DATA!$A:$E,4,0),F58),"")</f>
        <v/>
      </c>
      <c r="G58" s="103" t="n"/>
    </row>
    <row r="59" ht="18" customHeight="1">
      <c r="A59" s="92" t="n"/>
      <c r="B59" s="92" t="n"/>
      <c r="C59" s="92" t="n"/>
      <c r="D59" s="92" t="n"/>
      <c r="E59" s="92" t="n"/>
      <c r="F59" s="92" t="n"/>
      <c r="G59" s="92" t="n"/>
    </row>
    <row r="60" ht="23.1" customHeight="1">
      <c r="A60" s="108" t="n"/>
      <c r="B60" s="33" t="n"/>
      <c r="C60" s="33" t="n"/>
      <c r="D60" s="34" t="n"/>
      <c r="E60" s="34" t="n"/>
      <c r="F60" s="34" t="n"/>
      <c r="G60" s="34" t="n"/>
    </row>
    <row r="61" ht="18" customHeight="1">
      <c r="A61" s="109" t="n"/>
      <c r="B61" s="110" t="n"/>
      <c r="C61" s="110" t="n"/>
      <c r="D61" s="34" t="n"/>
      <c r="E61" s="34" t="n"/>
      <c r="F61" s="34" t="n"/>
      <c r="G61" s="34" t="n"/>
    </row>
    <row r="62" ht="18" customHeight="1">
      <c r="B62" s="110" t="n"/>
      <c r="C62" s="110" t="n"/>
      <c r="D62" s="111" t="n"/>
      <c r="E62" s="111" t="n"/>
      <c r="F62" s="111" t="n"/>
      <c r="G62" s="34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</row>
    <row r="64">
      <c r="A64" s="112" t="n"/>
      <c r="C64" s="41" t="n"/>
      <c r="D64" s="104" t="n"/>
      <c r="E64" s="42" t="n"/>
      <c r="F64" s="112" t="n"/>
    </row>
    <row r="65">
      <c r="A65" s="42" t="n"/>
      <c r="B65" s="42" t="n"/>
      <c r="C65" s="81" t="n"/>
      <c r="D65" s="42" t="n"/>
      <c r="E65" s="42" t="n"/>
      <c r="F65" s="82" t="n"/>
    </row>
    <row r="66">
      <c r="A66" s="112" t="n"/>
      <c r="C66" s="45" t="n"/>
      <c r="E66" s="42" t="n"/>
      <c r="F66" s="112" t="n"/>
    </row>
    <row r="67">
      <c r="A67" s="42" t="n"/>
      <c r="B67" s="42" t="n"/>
      <c r="C67" s="81" t="n"/>
      <c r="D67" s="42" t="n"/>
      <c r="E67" s="42" t="n"/>
      <c r="F67" s="81" t="n"/>
      <c r="G67" s="42" t="n"/>
    </row>
    <row r="68">
      <c r="A68" s="112" t="n"/>
      <c r="C68" s="44" t="n"/>
      <c r="D68" s="45" t="n"/>
      <c r="E68" s="42" t="n"/>
      <c r="F68" s="112" t="n"/>
    </row>
    <row r="69">
      <c r="A69" s="42" t="n"/>
      <c r="B69" s="42" t="n"/>
      <c r="C69" s="81" t="n"/>
      <c r="D69" s="42" t="n"/>
      <c r="E69" s="42" t="n"/>
      <c r="F69" s="82" t="n"/>
    </row>
    <row r="70">
      <c r="A70" s="112" t="n"/>
      <c r="C70" s="44" t="n"/>
      <c r="D70" s="45" t="n"/>
      <c r="E70" s="42" t="n"/>
      <c r="F70" s="112" t="n"/>
    </row>
    <row r="71">
      <c r="A71" s="80" t="n"/>
      <c r="B71" s="80" t="n"/>
      <c r="C71" s="83" t="n"/>
      <c r="D71" s="80" t="n"/>
      <c r="E71" s="80" t="n"/>
      <c r="F71" s="83" t="n"/>
      <c r="G71" s="80" t="n"/>
    </row>
    <row r="72">
      <c r="F72" s="102" t="n"/>
    </row>
    <row r="74">
      <c r="A74" s="102" t="n"/>
      <c r="B74" s="102" t="n"/>
      <c r="C74" s="102" t="n"/>
      <c r="D74" s="102" t="n"/>
      <c r="E74" s="102" t="n"/>
      <c r="F74" s="102" t="n"/>
    </row>
    <row r="75">
      <c r="A75" s="102" t="n"/>
      <c r="B75" s="102" t="n"/>
      <c r="C75" s="102" t="n"/>
      <c r="D75" s="102" t="n"/>
      <c r="E75" s="102" t="n"/>
      <c r="F75" s="102" t="n"/>
    </row>
    <row r="76">
      <c r="A76" s="102" t="n"/>
      <c r="B76" s="102" t="n"/>
      <c r="C76" s="102" t="n"/>
      <c r="D76" s="102" t="n"/>
      <c r="E76" s="102" t="n"/>
      <c r="F76" s="102" t="n"/>
    </row>
    <row r="77">
      <c r="A77" s="102" t="n"/>
      <c r="B77" s="102" t="n"/>
      <c r="C77" s="102" t="n"/>
      <c r="D77" s="102" t="n"/>
      <c r="E77" s="102" t="n"/>
      <c r="F77" s="102" t="n"/>
    </row>
    <row r="78">
      <c r="A78" s="102" t="n"/>
      <c r="B78" s="102" t="n"/>
      <c r="C78" s="102" t="n"/>
      <c r="D78" s="102" t="n"/>
      <c r="E78" s="102" t="n"/>
      <c r="F78" s="102" t="n"/>
    </row>
    <row r="79">
      <c r="A79" s="102" t="n"/>
      <c r="B79" s="102" t="n"/>
      <c r="C79" s="102" t="n"/>
      <c r="D79" s="102" t="n"/>
      <c r="E79" s="102" t="n"/>
      <c r="F79" s="102" t="n"/>
    </row>
  </sheetData>
  <mergeCells count="14">
    <mergeCell ref="A1:D1"/>
    <mergeCell ref="F69:G69"/>
    <mergeCell ref="C64:D64"/>
    <mergeCell ref="A61:A62"/>
    <mergeCell ref="A64:B64"/>
    <mergeCell ref="A68:B68"/>
    <mergeCell ref="F68:G68"/>
    <mergeCell ref="F65:G65"/>
    <mergeCell ref="C66:D66"/>
    <mergeCell ref="A66:B66"/>
    <mergeCell ref="A70:B70"/>
    <mergeCell ref="F70:G70"/>
    <mergeCell ref="F66:G66"/>
    <mergeCell ref="F64:G64"/>
  </mergeCells>
  <conditionalFormatting sqref="B14">
    <cfRule type="containsText" priority="7" operator="between" dxfId="0" text="AUG">
      <formula>NOT(ISERROR(SEARCH("AUG",B14)))</formula>
    </cfRule>
  </conditionalFormatting>
  <conditionalFormatting sqref="B15">
    <cfRule type="containsText" priority="16" operator="between" dxfId="0" text="AUG">
      <formula>NOT(ISERROR(SEARCH("AUG",B15)))</formula>
    </cfRule>
  </conditionalFormatting>
  <conditionalFormatting sqref="B17">
    <cfRule type="containsText" priority="5" operator="between" dxfId="0" text="AUG">
      <formula>NOT(ISERROR(SEARCH("AUG",B17)))</formula>
    </cfRule>
  </conditionalFormatting>
  <conditionalFormatting sqref="B18">
    <cfRule type="containsText" priority="11" operator="between" dxfId="0" text="AUG">
      <formula>NOT(ISERROR(SEARCH("AUG",B18)))</formula>
    </cfRule>
  </conditionalFormatting>
  <conditionalFormatting sqref="B19">
    <cfRule type="containsText" priority="6" operator="between" dxfId="0" text="AUG">
      <formula>NOT(ISERROR(SEARCH("AUG",B19)))</formula>
    </cfRule>
  </conditionalFormatting>
  <conditionalFormatting sqref="B20">
    <cfRule type="containsText" priority="13" operator="between" dxfId="0" text="AUG">
      <formula>NOT(ISERROR(SEARCH("AUG",B20)))</formula>
    </cfRule>
  </conditionalFormatting>
  <conditionalFormatting sqref="B22">
    <cfRule type="containsText" priority="4" operator="between" dxfId="0" text="AUG">
      <formula>NOT(ISERROR(SEARCH("AUG",B22)))</formula>
    </cfRule>
  </conditionalFormatting>
  <conditionalFormatting sqref="B23">
    <cfRule type="containsText" priority="9" operator="between" dxfId="0" text="AUG">
      <formula>NOT(ISERROR(SEARCH("AUG",B23)))</formula>
    </cfRule>
    <cfRule type="containsText" priority="3" operator="between" dxfId="0" text="AUG">
      <formula>NOT(ISERROR(SEARCH("AUG",B23)))</formula>
    </cfRule>
    <cfRule type="containsText" priority="1" operator="between" dxfId="0" text="AUG">
      <formula>NOT(ISERROR(SEARCH("AUG",B23)))</formula>
    </cfRule>
  </conditionalFormatting>
  <conditionalFormatting sqref="B24">
    <cfRule type="containsText" priority="2" operator="between" dxfId="0" text="AUG">
      <formula>NOT(ISERROR(SEARCH("AUG",B24)))</formula>
    </cfRule>
  </conditionalFormatting>
  <conditionalFormatting sqref="B28">
    <cfRule type="containsText" priority="46" operator="between" dxfId="0" text="AUG">
      <formula>NOT(ISERROR(SEARCH("AUG",B28)))</formula>
    </cfRule>
  </conditionalFormatting>
  <conditionalFormatting sqref="B3:B6">
    <cfRule type="containsText" priority="17" operator="between" dxfId="0" text="AUG">
      <formula>NOT(ISERROR(SEARCH("AUG",B3)))</formula>
    </cfRule>
  </conditionalFormatting>
  <conditionalFormatting sqref="B16:B19">
    <cfRule type="containsText" priority="14" operator="between" dxfId="0" text="AUG">
      <formula>NOT(ISERROR(SEARCH("AUG",B16)))</formula>
    </cfRule>
  </conditionalFormatting>
  <conditionalFormatting sqref="B19:B22">
    <cfRule type="containsText" priority="10" operator="between" dxfId="0" text="AUG">
      <formula>NOT(ISERROR(SEARCH("AUG",B19)))</formula>
    </cfRule>
  </conditionalFormatting>
  <conditionalFormatting sqref="B20:B26">
    <cfRule type="containsText" priority="12" operator="between" dxfId="0" text="AUG">
      <formula>NOT(ISERROR(SEARCH("AUG",B20)))</formula>
    </cfRule>
  </conditionalFormatting>
  <conditionalFormatting sqref="B23:B27">
    <cfRule type="containsText" priority="8" operator="between" dxfId="0" text="AUG">
      <formula>NOT(ISERROR(SEARCH("AUG",B23)))</formula>
    </cfRule>
  </conditionalFormatting>
  <conditionalFormatting sqref="B24:B27">
    <cfRule type="containsText" priority="15" operator="between" dxfId="0" text="AUG">
      <formula>NOT(ISERROR(SEARCH("AUG",B24)))</formula>
    </cfRule>
  </conditionalFormatting>
  <conditionalFormatting sqref="B28:B30">
    <cfRule type="containsText" priority="53" operator="between" dxfId="0" text="AUG">
      <formula>NOT(ISERROR(SEARCH("AUG",B28)))</formula>
    </cfRule>
  </conditionalFormatting>
  <conditionalFormatting sqref="B31:B58">
    <cfRule type="containsText" priority="66" operator="between" dxfId="0" text="AUG">
      <formula>NOT(ISERROR(SEARCH("AUG",B31)))</formula>
    </cfRule>
  </conditionalFormatting>
  <conditionalFormatting sqref="B7:B21 B23:B26">
    <cfRule type="containsText" priority="18" operator="between" dxfId="0" text="AUG">
      <formula>NOT(ISERROR(SEARCH("AUG",B7)))</formula>
    </cfRule>
  </conditionalFormatting>
  <dataValidations count="4">
    <dataValidation sqref="B3:B58" showDropDown="0" showInputMessage="1" showErrorMessage="1" allowBlank="1" type="list">
      <formula1>"PRG/FLY,PRG/TVL,FLY1,FLY,TVL1,TVL,SB,INT,DOM,OFDY,PRG/FLY-CO, PRG/TVL-CO, FLY1-CO,TVL1-CO,FLY-CO,TVL-CO,DOM-C/O,INT-C/O,GRD,SIM,VAC,S/O,ORL"</formula1>
    </dataValidation>
    <dataValidation sqref="C3:C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G3:G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D3:E58" showDropDown="0" showInputMessage="1" showErrorMessage="1" allowBlank="1" error="Valid entry IATA three airport code" type="textLength" errorStyle="information" operator="equal">
      <formula1>3</formula1>
    </dataValidation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1" ySplit="2" topLeftCell="B13" activePane="bottomRight" state="frozen"/>
      <selection activeCell="A1" sqref="A1"/>
      <selection pane="topRight" activeCell="A1" sqref="A1"/>
      <selection pane="bottomLeft" activeCell="A1" sqref="A1"/>
      <selection pane="bottomRight" activeCell="A13" sqref="A13"/>
    </sheetView>
  </sheetViews>
  <sheetFormatPr baseColWidth="8" defaultColWidth="8.854545454545461" defaultRowHeight="14"/>
  <cols>
    <col width="8.709090909090911" customWidth="1" min="1" max="4"/>
    <col width="11.1363636363636" customWidth="1" min="5" max="5"/>
    <col width="8.709090909090911" customWidth="1" min="6" max="6"/>
    <col width="11.1363636363636" customWidth="1" min="7" max="8"/>
    <col width="11.1363636363636" customWidth="1" style="113" min="9" max="9"/>
    <col hidden="1" width="12.7090909090909" customWidth="1" style="113" min="10" max="10"/>
    <col width="11.1363636363636" customWidth="1" style="113" min="11" max="11"/>
    <col width="8.709090909090911" customWidth="1" min="12" max="21"/>
  </cols>
  <sheetData>
    <row r="1" ht="18" customHeight="1">
      <c r="A1" s="2" t="n"/>
      <c r="B1" s="3" t="n"/>
      <c r="C1" s="3" t="n"/>
      <c r="D1" s="3" t="n"/>
      <c r="E1" s="3" t="n"/>
      <c r="F1" s="3" t="n"/>
      <c r="G1" s="4" t="n"/>
      <c r="H1" s="114" t="n"/>
      <c r="I1" s="114" t="n"/>
      <c r="J1" s="114" t="n"/>
      <c r="K1" s="114" t="n"/>
      <c r="L1" s="114" t="n"/>
      <c r="M1" s="3" t="n"/>
      <c r="N1" s="67" t="n"/>
      <c r="O1" s="114" t="n"/>
      <c r="P1" s="114" t="n"/>
      <c r="Q1" s="114" t="n"/>
      <c r="R1" s="114" t="n"/>
      <c r="S1" s="114" t="n"/>
      <c r="T1" s="114" t="n"/>
      <c r="U1" s="115" t="n"/>
      <c r="V1" s="68" t="n"/>
    </row>
    <row r="2" ht="18" customHeight="1">
      <c r="A2" s="5" t="n"/>
      <c r="B2" s="6" t="n"/>
      <c r="C2" s="7" t="n"/>
      <c r="D2" s="7" t="n"/>
      <c r="E2" s="7" t="n"/>
      <c r="F2" s="7" t="n"/>
      <c r="G2" s="7" t="n"/>
      <c r="H2" s="7" t="n"/>
      <c r="I2" s="7" t="n"/>
      <c r="J2" s="47" t="n"/>
      <c r="K2" s="47" t="n"/>
      <c r="L2" s="116" t="n"/>
      <c r="M2" s="116" t="n"/>
      <c r="N2" s="116" t="n"/>
      <c r="O2" s="116" t="n"/>
      <c r="P2" s="117" t="n"/>
      <c r="Q2" s="116" t="n"/>
      <c r="R2" s="116" t="n"/>
      <c r="S2" s="116" t="n"/>
      <c r="T2" s="116" t="n"/>
      <c r="U2" s="116" t="n"/>
      <c r="V2" s="68" t="n"/>
    </row>
    <row r="3" ht="18" customHeight="1">
      <c r="A3" s="118" t="n">
        <v>1000</v>
      </c>
      <c r="B3" s="9" t="inlineStr">
        <is>
          <t>AAA</t>
        </is>
      </c>
      <c r="C3" s="10" t="inlineStr">
        <is>
          <t>BBB</t>
        </is>
      </c>
      <c r="D3" s="119" t="n">
        <v>0.2604166666666667</v>
      </c>
      <c r="E3" s="119" t="n">
        <v>0.06597222222222222</v>
      </c>
      <c r="F3" s="119" t="n"/>
      <c r="G3" s="120" t="n"/>
      <c r="H3" s="121" t="n"/>
      <c r="I3" s="122" t="n"/>
      <c r="J3" s="123" t="n"/>
      <c r="K3" s="124" t="n"/>
      <c r="L3" s="125" t="n"/>
      <c r="M3" s="125" t="n"/>
      <c r="N3" s="126" t="n"/>
      <c r="O3" s="125" t="n"/>
      <c r="P3" s="126" t="n"/>
      <c r="Q3" s="126" t="n"/>
      <c r="R3" s="126" t="n"/>
      <c r="S3" s="127" t="n"/>
      <c r="T3" s="128" t="n"/>
      <c r="U3" s="129" t="n"/>
      <c r="V3" s="68" t="n"/>
    </row>
    <row r="4" ht="18" customHeight="1">
      <c r="A4" s="118" t="n">
        <v>1001</v>
      </c>
      <c r="B4" s="9" t="inlineStr">
        <is>
          <t>AAA</t>
        </is>
      </c>
      <c r="C4" s="10" t="inlineStr">
        <is>
          <t>CCC</t>
        </is>
      </c>
      <c r="D4" s="119" t="n">
        <v>0.2708333333333333</v>
      </c>
      <c r="E4" s="119" t="n">
        <v>0.06597222222222222</v>
      </c>
      <c r="F4" s="119" t="n"/>
      <c r="G4" s="120" t="n"/>
      <c r="H4" s="130" t="n"/>
      <c r="I4" s="131" t="n"/>
      <c r="J4" s="132" t="n"/>
      <c r="K4" s="133" t="n"/>
      <c r="L4" s="125" t="n"/>
      <c r="M4" s="125" t="n"/>
      <c r="N4" s="125" t="n"/>
      <c r="O4" s="125" t="n"/>
      <c r="P4" s="125" t="n"/>
      <c r="Q4" s="125" t="n"/>
      <c r="R4" s="125" t="n"/>
      <c r="S4" s="134" t="n"/>
      <c r="T4" s="135" t="n"/>
      <c r="U4" s="136" t="n"/>
      <c r="V4" s="68" t="n"/>
    </row>
    <row r="5" ht="18" customHeight="1">
      <c r="A5" s="118" t="n">
        <v>1002</v>
      </c>
      <c r="B5" s="9" t="inlineStr">
        <is>
          <t>AAA</t>
        </is>
      </c>
      <c r="C5" s="10" t="inlineStr">
        <is>
          <t>DDD</t>
        </is>
      </c>
      <c r="D5" s="119" t="n">
        <v>0.28125</v>
      </c>
      <c r="E5" s="119" t="n">
        <v>0.09375</v>
      </c>
      <c r="F5" s="119" t="n"/>
      <c r="G5" s="137" t="n"/>
      <c r="H5" s="138" t="n"/>
      <c r="I5" s="131" t="n"/>
      <c r="J5" s="132" t="n"/>
      <c r="K5" s="133" t="n"/>
      <c r="L5" s="125" t="n"/>
      <c r="M5" s="125" t="n"/>
      <c r="N5" s="125" t="n"/>
      <c r="O5" s="125" t="n"/>
      <c r="P5" s="125" t="n"/>
      <c r="Q5" s="125" t="n"/>
      <c r="R5" s="125" t="n"/>
      <c r="S5" s="134" t="n"/>
      <c r="T5" s="135" t="n"/>
      <c r="U5" s="136" t="n"/>
      <c r="V5" s="68" t="n"/>
    </row>
    <row r="6" ht="18" customHeight="1">
      <c r="A6" s="118" t="n">
        <v>1003</v>
      </c>
      <c r="B6" s="9" t="inlineStr">
        <is>
          <t>AAA</t>
        </is>
      </c>
      <c r="C6" s="10" t="inlineStr">
        <is>
          <t>EEE</t>
        </is>
      </c>
      <c r="D6" s="119" t="n">
        <v>0.2916666666666667</v>
      </c>
      <c r="E6" s="139" t="n">
        <v>0.08333333333333333</v>
      </c>
      <c r="F6" s="119" t="n"/>
      <c r="G6" s="140" t="n"/>
      <c r="H6" s="141" t="n"/>
      <c r="I6" s="131" t="n"/>
      <c r="J6" s="132" t="n"/>
      <c r="K6" s="133" t="n"/>
      <c r="L6" s="125" t="n"/>
      <c r="M6" s="125" t="n"/>
      <c r="N6" s="125" t="n"/>
      <c r="O6" s="125" t="n"/>
      <c r="P6" s="125" t="n"/>
      <c r="Q6" s="125" t="n"/>
      <c r="R6" s="125" t="n"/>
      <c r="S6" s="134" t="n"/>
      <c r="T6" s="135" t="n"/>
      <c r="U6" s="136" t="n"/>
      <c r="V6" s="68" t="n"/>
    </row>
    <row r="7" ht="18" customHeight="1">
      <c r="A7" s="118" t="n">
        <v>1004</v>
      </c>
      <c r="B7" s="9" t="inlineStr">
        <is>
          <t>AAA</t>
        </is>
      </c>
      <c r="C7" s="10" t="inlineStr">
        <is>
          <t>FFF</t>
        </is>
      </c>
      <c r="D7" s="119" t="n">
        <v>0.3020833333333333</v>
      </c>
      <c r="E7" s="119" t="n">
        <v>0.09375</v>
      </c>
      <c r="F7" s="119" t="n"/>
      <c r="G7" s="120" t="n"/>
      <c r="H7" s="130" t="n"/>
      <c r="I7" s="131" t="n"/>
      <c r="J7" s="132" t="n"/>
      <c r="K7" s="133" t="n"/>
      <c r="L7" s="125" t="n"/>
      <c r="M7" s="125" t="n"/>
      <c r="N7" s="125" t="n"/>
      <c r="O7" s="125" t="n"/>
      <c r="P7" s="125" t="n"/>
      <c r="Q7" s="125" t="n"/>
      <c r="R7" s="125" t="n"/>
      <c r="S7" s="134" t="n"/>
      <c r="T7" s="135" t="n"/>
      <c r="U7" s="136" t="n"/>
      <c r="V7" s="68" t="n"/>
    </row>
    <row r="8" ht="18" customHeight="1">
      <c r="A8" s="118" t="n">
        <v>1005</v>
      </c>
      <c r="B8" s="9" t="inlineStr">
        <is>
          <t>AAA</t>
        </is>
      </c>
      <c r="C8" s="10" t="inlineStr">
        <is>
          <t>GGG</t>
        </is>
      </c>
      <c r="D8" s="119" t="n">
        <v>0.3125</v>
      </c>
      <c r="E8" s="139" t="n">
        <v>0.08333333333333333</v>
      </c>
      <c r="F8" s="119" t="n"/>
      <c r="G8" s="120" t="n"/>
      <c r="H8" s="130" t="n"/>
      <c r="I8" s="131" t="n"/>
      <c r="J8" s="132" t="n"/>
      <c r="K8" s="133" t="n"/>
      <c r="L8" s="125" t="n"/>
      <c r="M8" s="125" t="n"/>
      <c r="N8" s="125" t="n"/>
      <c r="O8" s="125" t="n"/>
      <c r="P8" s="125" t="n"/>
      <c r="Q8" s="125" t="n"/>
      <c r="R8" s="125" t="n"/>
      <c r="S8" s="134" t="n"/>
      <c r="T8" s="135" t="n"/>
      <c r="U8" s="136" t="n"/>
      <c r="V8" s="68" t="n"/>
    </row>
    <row r="9" ht="18" customHeight="1">
      <c r="A9" s="118" t="n">
        <v>1006</v>
      </c>
      <c r="B9" s="9" t="inlineStr">
        <is>
          <t>AAA</t>
        </is>
      </c>
      <c r="C9" s="10" t="inlineStr">
        <is>
          <t>HHH</t>
        </is>
      </c>
      <c r="D9" s="119" t="n">
        <v>0.3229166666666667</v>
      </c>
      <c r="E9" s="119" t="n">
        <v>0.05555555555555555</v>
      </c>
      <c r="F9" s="119" t="n"/>
      <c r="G9" s="120" t="n"/>
      <c r="H9" s="130" t="n"/>
      <c r="I9" s="131" t="n"/>
      <c r="J9" s="132" t="n"/>
      <c r="K9" s="133" t="n"/>
      <c r="L9" s="125" t="n"/>
      <c r="M9" s="125" t="n"/>
      <c r="N9" s="125" t="n"/>
      <c r="O9" s="125" t="n"/>
      <c r="P9" s="125" t="n"/>
      <c r="Q9" s="125" t="n"/>
      <c r="R9" s="125" t="n"/>
      <c r="S9" s="134" t="n"/>
      <c r="T9" s="135" t="n"/>
      <c r="U9" s="136" t="n"/>
      <c r="V9" s="68" t="n"/>
    </row>
    <row r="10" ht="18" customHeight="1">
      <c r="A10" s="118" t="n">
        <v>1007</v>
      </c>
      <c r="B10" s="9" t="inlineStr">
        <is>
          <t>AAA</t>
        </is>
      </c>
      <c r="C10" s="10" t="inlineStr">
        <is>
          <t>III</t>
        </is>
      </c>
      <c r="D10" s="119" t="n">
        <v>0.3333333333333333</v>
      </c>
      <c r="E10" s="139" t="n">
        <v>0.05555555555555555</v>
      </c>
      <c r="F10" s="119" t="n"/>
      <c r="G10" s="120" t="n"/>
      <c r="H10" s="130" t="n"/>
      <c r="I10" s="131" t="n"/>
      <c r="J10" s="132" t="n"/>
      <c r="K10" s="133" t="n"/>
      <c r="L10" s="125" t="n"/>
      <c r="M10" s="125" t="n"/>
      <c r="N10" s="125" t="n"/>
      <c r="O10" s="125" t="n"/>
      <c r="P10" s="125" t="n"/>
      <c r="Q10" s="125" t="n"/>
      <c r="R10" s="125" t="n"/>
      <c r="S10" s="134" t="n"/>
      <c r="T10" s="135" t="n"/>
      <c r="U10" s="136" t="n"/>
      <c r="V10" s="68" t="n"/>
    </row>
    <row r="11" ht="18" customHeight="1">
      <c r="A11" s="118" t="n">
        <v>1008</v>
      </c>
      <c r="B11" s="9" t="inlineStr">
        <is>
          <t>AAA</t>
        </is>
      </c>
      <c r="C11" s="10" t="inlineStr">
        <is>
          <t>JJJ</t>
        </is>
      </c>
      <c r="D11" s="119" t="n">
        <v>0.34375</v>
      </c>
      <c r="E11" s="139" t="n">
        <v>0.05902777777777778</v>
      </c>
      <c r="F11" s="119" t="n"/>
      <c r="G11" s="120" t="n"/>
      <c r="H11" s="130" t="n"/>
      <c r="I11" s="131" t="n"/>
      <c r="J11" s="132" t="n"/>
      <c r="K11" s="133" t="n"/>
      <c r="L11" s="125" t="n"/>
      <c r="M11" s="125" t="n"/>
      <c r="N11" s="125" t="n"/>
      <c r="O11" s="125" t="n"/>
      <c r="P11" s="125" t="n"/>
      <c r="Q11" s="125" t="n"/>
      <c r="R11" s="125" t="n"/>
      <c r="S11" s="134" t="n"/>
      <c r="T11" s="135" t="n"/>
      <c r="U11" s="136" t="n"/>
      <c r="V11" s="68" t="n"/>
    </row>
    <row r="12" ht="18" customHeight="1">
      <c r="A12" s="118" t="n">
        <v>1009</v>
      </c>
      <c r="B12" s="9" t="inlineStr">
        <is>
          <t>AAA</t>
        </is>
      </c>
      <c r="C12" s="10" t="inlineStr">
        <is>
          <t>KKK</t>
        </is>
      </c>
      <c r="D12" s="119" t="n">
        <v>0.3541666666666667</v>
      </c>
      <c r="E12" s="139" t="n">
        <v>0.05902777777777778</v>
      </c>
      <c r="F12" s="119" t="n"/>
      <c r="G12" s="120" t="n"/>
      <c r="H12" s="130" t="n"/>
      <c r="I12" s="131" t="n"/>
      <c r="J12" s="132" t="n"/>
      <c r="K12" s="133" t="n"/>
      <c r="L12" s="125" t="n"/>
      <c r="M12" s="125" t="n"/>
      <c r="N12" s="125" t="n"/>
      <c r="O12" s="125" t="n"/>
      <c r="P12" s="125" t="n"/>
      <c r="Q12" s="125" t="n"/>
      <c r="R12" s="125" t="n"/>
      <c r="S12" s="134" t="n"/>
      <c r="T12" s="135" t="n"/>
      <c r="U12" s="136" t="n"/>
      <c r="V12" s="68" t="n"/>
    </row>
    <row r="13" ht="18" customHeight="1">
      <c r="A13" s="118" t="n">
        <v>1010</v>
      </c>
      <c r="B13" s="9" t="inlineStr">
        <is>
          <t>AAA</t>
        </is>
      </c>
      <c r="C13" s="10" t="inlineStr">
        <is>
          <t>LLL</t>
        </is>
      </c>
      <c r="D13" s="119" t="n">
        <v>0.3645833333333333</v>
      </c>
      <c r="E13" s="139" t="n">
        <v>0.05208333333333334</v>
      </c>
      <c r="F13" s="119" t="n"/>
      <c r="G13" s="120" t="n"/>
      <c r="H13" s="130" t="n"/>
      <c r="I13" s="131" t="n"/>
      <c r="J13" s="132" t="n"/>
      <c r="K13" s="133" t="n"/>
      <c r="L13" s="125" t="n"/>
      <c r="M13" s="125" t="n"/>
      <c r="N13" s="125" t="n"/>
      <c r="O13" s="125" t="n"/>
      <c r="P13" s="125" t="n"/>
      <c r="Q13" s="125" t="n"/>
      <c r="R13" s="125" t="n"/>
      <c r="S13" s="134" t="n"/>
      <c r="T13" s="135" t="n"/>
      <c r="U13" s="136" t="n"/>
      <c r="V13" s="68" t="n"/>
    </row>
    <row r="14" ht="18" customHeight="1">
      <c r="A14" s="118" t="n">
        <v>1011</v>
      </c>
      <c r="B14" s="9" t="inlineStr">
        <is>
          <t>AAA</t>
        </is>
      </c>
      <c r="C14" s="10" t="inlineStr">
        <is>
          <t>MMM</t>
        </is>
      </c>
      <c r="D14" s="119" t="n">
        <v>0.375</v>
      </c>
      <c r="E14" s="119" t="n">
        <v>0.04861111111111111</v>
      </c>
      <c r="F14" s="119" t="n"/>
      <c r="G14" s="120" t="n"/>
      <c r="H14" s="130" t="n"/>
      <c r="I14" s="131" t="n"/>
      <c r="J14" s="132" t="n"/>
      <c r="K14" s="133" t="n"/>
      <c r="L14" s="125" t="n"/>
      <c r="M14" s="125" t="n"/>
      <c r="N14" s="125" t="n"/>
      <c r="O14" s="125" t="n"/>
      <c r="P14" s="125" t="n"/>
      <c r="Q14" s="125" t="n"/>
      <c r="R14" s="125" t="n"/>
      <c r="S14" s="134" t="n"/>
      <c r="T14" s="135" t="n"/>
      <c r="U14" s="136" t="n"/>
      <c r="V14" s="68" t="n"/>
    </row>
    <row r="15" ht="18" customHeight="1">
      <c r="A15" s="118" t="n">
        <v>1012</v>
      </c>
      <c r="B15" s="9" t="inlineStr">
        <is>
          <t>AAA</t>
        </is>
      </c>
      <c r="C15" s="10" t="inlineStr">
        <is>
          <t>NNN</t>
        </is>
      </c>
      <c r="D15" s="119" t="n">
        <v>0.3854166666666667</v>
      </c>
      <c r="E15" s="139" t="n">
        <v>0.05555555555555555</v>
      </c>
      <c r="F15" s="119" t="n"/>
      <c r="G15" s="120" t="n"/>
      <c r="H15" s="130" t="n"/>
      <c r="I15" s="131" t="n"/>
      <c r="J15" s="132" t="n"/>
      <c r="K15" s="133" t="n"/>
      <c r="L15" s="125" t="n"/>
      <c r="M15" s="125" t="n"/>
      <c r="N15" s="125" t="n"/>
      <c r="O15" s="125" t="n"/>
      <c r="P15" s="125" t="n"/>
      <c r="Q15" s="125" t="n"/>
      <c r="R15" s="125" t="n"/>
      <c r="S15" s="134" t="n"/>
      <c r="T15" s="135" t="n"/>
      <c r="U15" s="136" t="n"/>
      <c r="V15" s="68" t="n"/>
    </row>
    <row r="16" ht="18" customHeight="1">
      <c r="A16" s="118" t="n">
        <v>1013</v>
      </c>
      <c r="B16" s="9" t="inlineStr">
        <is>
          <t>AAA</t>
        </is>
      </c>
      <c r="C16" s="10" t="inlineStr">
        <is>
          <t>OOO</t>
        </is>
      </c>
      <c r="D16" s="119" t="n">
        <v>0.3958333333333333</v>
      </c>
      <c r="E16" s="119" t="n">
        <v>0.05902777777777778</v>
      </c>
      <c r="F16" s="119" t="n"/>
      <c r="G16" s="120" t="n"/>
      <c r="H16" s="130" t="n"/>
      <c r="I16" s="131" t="n"/>
      <c r="J16" s="132" t="n"/>
      <c r="K16" s="133" t="n"/>
      <c r="L16" s="125" t="n"/>
      <c r="M16" s="125" t="n"/>
      <c r="N16" s="125" t="n"/>
      <c r="O16" s="125" t="n"/>
      <c r="P16" s="125" t="n"/>
      <c r="Q16" s="125" t="n"/>
      <c r="R16" s="125" t="n"/>
      <c r="S16" s="134" t="n"/>
      <c r="T16" s="135" t="n"/>
      <c r="U16" s="136" t="n"/>
      <c r="V16" s="68" t="n"/>
    </row>
    <row r="17" ht="18" customHeight="1">
      <c r="A17" s="118" t="n">
        <v>1014</v>
      </c>
      <c r="B17" s="9" t="inlineStr">
        <is>
          <t>AAA</t>
        </is>
      </c>
      <c r="C17" s="10" t="inlineStr">
        <is>
          <t>PPP</t>
        </is>
      </c>
      <c r="D17" s="119" t="n">
        <v>0.40625</v>
      </c>
      <c r="E17" s="139" t="n">
        <v>0.03819444444444445</v>
      </c>
      <c r="F17" s="119" t="n"/>
      <c r="G17" s="120" t="n"/>
      <c r="H17" s="130" t="n"/>
      <c r="I17" s="131" t="n"/>
      <c r="J17" s="132" t="n"/>
      <c r="K17" s="133" t="n"/>
      <c r="L17" s="125" t="n"/>
      <c r="M17" s="125" t="n"/>
      <c r="N17" s="125" t="n"/>
      <c r="O17" s="125" t="n"/>
      <c r="P17" s="125" t="n"/>
      <c r="Q17" s="125" t="n"/>
      <c r="R17" s="125" t="n"/>
      <c r="S17" s="134" t="n"/>
      <c r="T17" s="135" t="n"/>
      <c r="U17" s="136" t="n"/>
      <c r="V17" s="68" t="n"/>
    </row>
    <row r="18" ht="18" customHeight="1">
      <c r="A18" s="118" t="n">
        <v>1015</v>
      </c>
      <c r="B18" s="9" t="inlineStr">
        <is>
          <t>AAA</t>
        </is>
      </c>
      <c r="C18" s="10" t="inlineStr">
        <is>
          <t>QQQ</t>
        </is>
      </c>
      <c r="D18" s="119" t="n">
        <v>0.4166666666666667</v>
      </c>
      <c r="E18" s="119" t="n">
        <v>0.03819444444444445</v>
      </c>
      <c r="F18" s="119" t="n"/>
      <c r="G18" s="120" t="n"/>
      <c r="H18" s="130" t="n"/>
      <c r="I18" s="131" t="n"/>
      <c r="J18" s="132" t="n"/>
      <c r="K18" s="133" t="n"/>
      <c r="L18" s="125" t="n"/>
      <c r="M18" s="125" t="n"/>
      <c r="N18" s="125" t="n"/>
      <c r="O18" s="125" t="n"/>
      <c r="P18" s="125" t="n"/>
      <c r="Q18" s="125" t="n"/>
      <c r="R18" s="125" t="n"/>
      <c r="S18" s="134" t="n"/>
      <c r="T18" s="135" t="n"/>
      <c r="U18" s="136" t="n"/>
      <c r="V18" s="68" t="n"/>
    </row>
    <row r="19" ht="18" customHeight="1">
      <c r="A19" s="118" t="n">
        <v>1016</v>
      </c>
      <c r="B19" s="9" t="inlineStr">
        <is>
          <t>AAA</t>
        </is>
      </c>
      <c r="C19" s="10" t="inlineStr">
        <is>
          <t>RRR</t>
        </is>
      </c>
      <c r="D19" s="119" t="n">
        <v>0.4270833333333333</v>
      </c>
      <c r="E19" s="139" t="n">
        <v>0.04166666666666666</v>
      </c>
      <c r="F19" s="119" t="n"/>
      <c r="G19" s="120" t="n"/>
      <c r="H19" s="130" t="n"/>
      <c r="I19" s="131" t="n"/>
      <c r="J19" s="132" t="n"/>
      <c r="K19" s="133" t="n"/>
      <c r="L19" s="125" t="n"/>
      <c r="M19" s="125" t="n"/>
      <c r="N19" s="125" t="n"/>
      <c r="O19" s="125" t="n"/>
      <c r="P19" s="125" t="n"/>
      <c r="Q19" s="125" t="n"/>
      <c r="R19" s="125" t="n"/>
      <c r="S19" s="134" t="n"/>
      <c r="T19" s="135" t="n"/>
      <c r="U19" s="136" t="n"/>
      <c r="V19" s="68" t="n"/>
    </row>
    <row r="20" ht="18" customHeight="1">
      <c r="A20" s="118" t="n">
        <v>1017</v>
      </c>
      <c r="B20" s="9" t="inlineStr">
        <is>
          <t>AAA</t>
        </is>
      </c>
      <c r="C20" s="10" t="inlineStr">
        <is>
          <t>SSS</t>
        </is>
      </c>
      <c r="D20" s="119" t="n">
        <v>0.4375</v>
      </c>
      <c r="E20" s="139" t="n">
        <v>0.04166666666666666</v>
      </c>
      <c r="F20" s="119" t="n"/>
      <c r="G20" s="120" t="n"/>
      <c r="H20" s="130" t="n"/>
      <c r="I20" s="131" t="n"/>
      <c r="J20" s="132" t="n"/>
      <c r="K20" s="133" t="n"/>
      <c r="L20" s="125" t="n"/>
      <c r="M20" s="125" t="n"/>
      <c r="N20" s="125" t="n"/>
      <c r="O20" s="125" t="n"/>
      <c r="P20" s="125" t="n"/>
      <c r="Q20" s="125" t="n"/>
      <c r="R20" s="125" t="n"/>
      <c r="S20" s="134" t="n"/>
      <c r="T20" s="135" t="n"/>
      <c r="U20" s="136" t="n"/>
      <c r="V20" s="68" t="n"/>
    </row>
    <row r="21" ht="18" customHeight="1">
      <c r="A21" s="118" t="n">
        <v>1018</v>
      </c>
      <c r="B21" s="9" t="inlineStr">
        <is>
          <t>AAA</t>
        </is>
      </c>
      <c r="C21" s="10" t="inlineStr">
        <is>
          <t>TTT</t>
        </is>
      </c>
      <c r="D21" s="119" t="n">
        <v>0.4479166666666667</v>
      </c>
      <c r="E21" s="119" t="n">
        <v>0.05902777777777778</v>
      </c>
      <c r="F21" s="119" t="n"/>
      <c r="G21" s="120" t="n"/>
      <c r="H21" s="130" t="n"/>
      <c r="I21" s="131" t="n"/>
      <c r="J21" s="132" t="n"/>
      <c r="K21" s="133" t="n"/>
      <c r="L21" s="125" t="n"/>
      <c r="M21" s="125" t="n"/>
      <c r="N21" s="125" t="n"/>
      <c r="O21" s="125" t="n"/>
      <c r="P21" s="125" t="n"/>
      <c r="Q21" s="125" t="n"/>
      <c r="R21" s="125" t="n"/>
      <c r="S21" s="134" t="n"/>
      <c r="T21" s="135" t="n"/>
      <c r="U21" s="136" t="n"/>
      <c r="V21" s="68" t="n"/>
    </row>
    <row r="22" ht="18" customHeight="1">
      <c r="A22" s="118" t="n">
        <v>1019</v>
      </c>
      <c r="B22" s="9" t="inlineStr">
        <is>
          <t>AAA</t>
        </is>
      </c>
      <c r="C22" s="10" t="inlineStr">
        <is>
          <t>UUU</t>
        </is>
      </c>
      <c r="D22" s="119" t="n">
        <v>0.4583333333333333</v>
      </c>
      <c r="E22" s="139" t="n">
        <v>0.06597222222222222</v>
      </c>
      <c r="F22" s="119" t="n"/>
      <c r="G22" s="120" t="n"/>
      <c r="H22" s="130" t="n"/>
      <c r="I22" s="131" t="n"/>
      <c r="J22" s="132" t="n"/>
      <c r="K22" s="133" t="n"/>
      <c r="L22" s="125" t="n"/>
      <c r="M22" s="125" t="n"/>
      <c r="N22" s="125" t="n"/>
      <c r="O22" s="125" t="n"/>
      <c r="P22" s="125" t="n"/>
      <c r="Q22" s="125" t="n"/>
      <c r="R22" s="125" t="n"/>
      <c r="S22" s="134" t="n"/>
      <c r="T22" s="135" t="n"/>
      <c r="U22" s="136" t="n"/>
      <c r="V22" s="68" t="n"/>
    </row>
    <row r="23" ht="18" customHeight="1">
      <c r="A23" s="118" t="n">
        <v>1020</v>
      </c>
      <c r="B23" s="9" t="inlineStr">
        <is>
          <t>AAA</t>
        </is>
      </c>
      <c r="C23" s="10" t="inlineStr">
        <is>
          <t>VVV</t>
        </is>
      </c>
      <c r="D23" s="119" t="n">
        <v>0.46875</v>
      </c>
      <c r="E23" s="139" t="n">
        <v>0.06597222222222222</v>
      </c>
      <c r="F23" s="119" t="n"/>
      <c r="G23" s="120" t="n"/>
      <c r="H23" s="130" t="n"/>
      <c r="I23" s="131" t="n"/>
      <c r="J23" s="132" t="n"/>
      <c r="K23" s="133" t="n"/>
      <c r="L23" s="125" t="n"/>
      <c r="M23" s="125" t="n"/>
      <c r="N23" s="125" t="n"/>
      <c r="O23" s="125" t="n"/>
      <c r="P23" s="125" t="n"/>
      <c r="Q23" s="125" t="n"/>
      <c r="R23" s="125" t="n"/>
      <c r="S23" s="134" t="n"/>
      <c r="T23" s="135" t="n"/>
      <c r="U23" s="136" t="n"/>
      <c r="V23" s="68" t="n"/>
    </row>
    <row r="24" ht="18" customHeight="1">
      <c r="A24" s="118" t="n">
        <v>1021</v>
      </c>
      <c r="B24" s="9" t="inlineStr">
        <is>
          <t>AAA</t>
        </is>
      </c>
      <c r="C24" s="10" t="inlineStr">
        <is>
          <t>WWW</t>
        </is>
      </c>
      <c r="D24" s="119" t="n">
        <v>0.4791666666666667</v>
      </c>
      <c r="E24" s="119" t="n">
        <v>0.06597222222222222</v>
      </c>
      <c r="F24" s="119" t="n"/>
      <c r="G24" s="120" t="n"/>
      <c r="H24" s="130" t="n"/>
      <c r="I24" s="131" t="n"/>
      <c r="J24" s="132" t="n"/>
      <c r="K24" s="133" t="n"/>
      <c r="L24" s="125" t="n"/>
      <c r="M24" s="125" t="n"/>
      <c r="N24" s="125" t="n"/>
      <c r="O24" s="125" t="n"/>
      <c r="P24" s="125" t="n"/>
      <c r="Q24" s="125" t="n"/>
      <c r="R24" s="125" t="n"/>
      <c r="S24" s="134" t="n"/>
      <c r="T24" s="135" t="n"/>
      <c r="U24" s="136" t="n"/>
      <c r="V24" s="68" t="n"/>
    </row>
    <row r="25" ht="18" customHeight="1">
      <c r="A25" s="118" t="n">
        <v>1022</v>
      </c>
      <c r="B25" s="9" t="inlineStr">
        <is>
          <t>AAA</t>
        </is>
      </c>
      <c r="C25" s="10" t="inlineStr">
        <is>
          <t>XXX</t>
        </is>
      </c>
      <c r="D25" s="119" t="n">
        <v>0.4895833333333333</v>
      </c>
      <c r="E25" s="139" t="n">
        <v>0.0625</v>
      </c>
      <c r="F25" s="119" t="n"/>
      <c r="G25" s="120" t="n"/>
      <c r="H25" s="130" t="n"/>
      <c r="I25" s="131" t="n"/>
      <c r="J25" s="132" t="n"/>
      <c r="K25" s="133" t="n"/>
      <c r="L25" s="125" t="n"/>
      <c r="M25" s="125" t="n"/>
      <c r="N25" s="125" t="n"/>
      <c r="O25" s="125" t="n"/>
      <c r="P25" s="125" t="n"/>
      <c r="Q25" s="125" t="n"/>
      <c r="R25" s="125" t="n"/>
      <c r="S25" s="134" t="n"/>
      <c r="T25" s="135" t="n"/>
      <c r="U25" s="136" t="n"/>
      <c r="V25" s="68" t="n"/>
    </row>
    <row r="26" ht="18" customHeight="1">
      <c r="A26" s="118" t="n">
        <v>1023</v>
      </c>
      <c r="B26" s="9" t="inlineStr">
        <is>
          <t>AAA</t>
        </is>
      </c>
      <c r="C26" s="10" t="inlineStr">
        <is>
          <t>YYY</t>
        </is>
      </c>
      <c r="D26" s="119" t="n">
        <v>0.5</v>
      </c>
      <c r="E26" s="139" t="n">
        <v>0.0625</v>
      </c>
      <c r="F26" s="119" t="n"/>
      <c r="G26" s="120" t="n"/>
      <c r="H26" s="130" t="n"/>
      <c r="I26" s="131" t="n"/>
      <c r="J26" s="132" t="n"/>
      <c r="K26" s="133" t="n"/>
      <c r="L26" s="125" t="n"/>
      <c r="M26" s="125" t="n"/>
      <c r="N26" s="125" t="n"/>
      <c r="O26" s="125" t="n"/>
      <c r="P26" s="125" t="n"/>
      <c r="Q26" s="125" t="n"/>
      <c r="R26" s="125" t="n"/>
      <c r="S26" s="134" t="n"/>
      <c r="T26" s="135" t="n"/>
      <c r="U26" s="136" t="n"/>
      <c r="V26" s="68" t="n"/>
    </row>
    <row r="27" ht="18" customHeight="1">
      <c r="A27" s="118" t="n">
        <v>1024</v>
      </c>
      <c r="B27" s="9" t="inlineStr">
        <is>
          <t>AAA</t>
        </is>
      </c>
      <c r="C27" s="10" t="inlineStr">
        <is>
          <t>ZZZ</t>
        </is>
      </c>
      <c r="D27" s="119" t="n">
        <v>0.5104166666666666</v>
      </c>
      <c r="E27" s="139" t="n">
        <v>0.04166666666666666</v>
      </c>
      <c r="F27" s="119" t="n"/>
      <c r="G27" s="120" t="n"/>
      <c r="H27" s="130" t="n"/>
      <c r="I27" s="131" t="n"/>
      <c r="J27" s="132" t="n"/>
      <c r="K27" s="133" t="n"/>
      <c r="L27" s="125" t="n"/>
      <c r="M27" s="125" t="n"/>
      <c r="N27" s="125" t="n"/>
      <c r="O27" s="125" t="n"/>
      <c r="P27" s="125" t="n"/>
      <c r="Q27" s="125" t="n"/>
      <c r="R27" s="125" t="n"/>
      <c r="S27" s="134" t="n"/>
      <c r="T27" s="135" t="n"/>
      <c r="U27" s="136" t="n"/>
      <c r="V27" s="68" t="n"/>
    </row>
    <row r="28" ht="18" customHeight="1">
      <c r="A28" s="118" t="n"/>
      <c r="B28" s="9" t="n"/>
      <c r="C28" s="10" t="n"/>
      <c r="D28" s="10" t="n"/>
      <c r="E28" s="139" t="n"/>
      <c r="F28" s="139" t="n"/>
      <c r="G28" s="120" t="n"/>
      <c r="H28" s="130" t="n"/>
      <c r="I28" s="131" t="n"/>
      <c r="J28" s="132" t="n"/>
      <c r="K28" s="133" t="n"/>
      <c r="L28" s="125" t="n"/>
      <c r="M28" s="125" t="n"/>
      <c r="N28" s="125" t="n"/>
      <c r="O28" s="125" t="n"/>
      <c r="P28" s="125" t="n"/>
      <c r="Q28" s="125" t="n"/>
      <c r="R28" s="125" t="n"/>
      <c r="S28" s="134" t="n"/>
      <c r="T28" s="135" t="n"/>
      <c r="U28" s="136" t="n"/>
      <c r="V28" s="68" t="n"/>
    </row>
    <row r="29" ht="18" customHeight="1">
      <c r="A29" s="118" t="n"/>
      <c r="B29" s="9" t="n"/>
      <c r="C29" s="10" t="n"/>
      <c r="D29" s="10" t="n"/>
      <c r="E29" s="119" t="n"/>
      <c r="F29" s="119" t="n"/>
      <c r="G29" s="120" t="n"/>
      <c r="H29" s="130" t="n"/>
      <c r="I29" s="131" t="n"/>
      <c r="J29" s="132" t="n"/>
      <c r="K29" s="133" t="n"/>
      <c r="L29" s="125" t="n"/>
      <c r="M29" s="125" t="n"/>
      <c r="N29" s="125" t="n"/>
      <c r="O29" s="125" t="n"/>
      <c r="P29" s="125" t="n"/>
      <c r="Q29" s="125" t="n"/>
      <c r="R29" s="125" t="n"/>
      <c r="S29" s="134" t="n"/>
      <c r="T29" s="135" t="n"/>
      <c r="U29" s="136" t="n"/>
      <c r="V29" s="68" t="n"/>
    </row>
    <row r="30" ht="18" customHeight="1">
      <c r="A30" s="118" t="n"/>
      <c r="B30" s="9" t="n"/>
      <c r="C30" s="10" t="n"/>
      <c r="D30" s="10" t="n"/>
      <c r="E30" s="139" t="n"/>
      <c r="F30" s="139" t="n"/>
      <c r="G30" s="120" t="n"/>
      <c r="H30" s="130" t="n"/>
      <c r="I30" s="131" t="n"/>
      <c r="J30" s="132" t="n"/>
      <c r="K30" s="133" t="n"/>
      <c r="L30" s="125" t="n"/>
      <c r="M30" s="125" t="n"/>
      <c r="N30" s="125" t="n"/>
      <c r="O30" s="125" t="n"/>
      <c r="P30" s="125" t="n"/>
      <c r="Q30" s="125" t="n"/>
      <c r="R30" s="125" t="n"/>
      <c r="S30" s="134" t="n"/>
      <c r="T30" s="135" t="n"/>
      <c r="U30" s="136" t="n"/>
      <c r="V30" s="68" t="n"/>
    </row>
    <row r="31" ht="18" customHeight="1">
      <c r="A31" s="118" t="n"/>
      <c r="B31" s="9" t="n"/>
      <c r="C31" s="10" t="n"/>
      <c r="D31" s="10" t="n"/>
      <c r="E31" s="139" t="n"/>
      <c r="F31" s="139" t="n"/>
      <c r="G31" s="120" t="n"/>
      <c r="H31" s="130" t="n"/>
      <c r="I31" s="131" t="n"/>
      <c r="J31" s="132" t="n"/>
      <c r="K31" s="133" t="n"/>
      <c r="L31" s="125" t="n"/>
      <c r="M31" s="125" t="n"/>
      <c r="N31" s="125" t="n"/>
      <c r="O31" s="125" t="n"/>
      <c r="P31" s="125" t="n"/>
      <c r="Q31" s="125" t="n"/>
      <c r="R31" s="125" t="n"/>
      <c r="S31" s="134" t="n"/>
      <c r="T31" s="135" t="n"/>
      <c r="U31" s="136" t="n"/>
      <c r="V31" s="68" t="n"/>
    </row>
    <row r="32" ht="18" customHeight="1">
      <c r="A32" s="118" t="n"/>
      <c r="B32" s="9" t="n"/>
      <c r="C32" s="10" t="n"/>
      <c r="D32" s="10" t="n"/>
      <c r="E32" s="119" t="n"/>
      <c r="F32" s="119" t="n"/>
      <c r="G32" s="120" t="n"/>
      <c r="H32" s="130" t="n"/>
      <c r="I32" s="131" t="n"/>
      <c r="J32" s="132" t="n"/>
      <c r="K32" s="133" t="n"/>
      <c r="L32" s="125" t="n"/>
      <c r="M32" s="125" t="n"/>
      <c r="N32" s="125" t="n"/>
      <c r="O32" s="125" t="n"/>
      <c r="P32" s="125" t="n"/>
      <c r="Q32" s="125" t="n"/>
      <c r="R32" s="125" t="n"/>
      <c r="S32" s="134" t="n"/>
      <c r="T32" s="135" t="n"/>
      <c r="U32" s="136" t="n"/>
      <c r="V32" s="68" t="n"/>
    </row>
    <row r="33" ht="18" customHeight="1">
      <c r="A33" s="118" t="n"/>
      <c r="B33" s="9" t="n"/>
      <c r="C33" s="10" t="n"/>
      <c r="D33" s="10" t="n"/>
      <c r="E33" s="139" t="n"/>
      <c r="F33" s="139" t="n"/>
      <c r="G33" s="120" t="n"/>
      <c r="H33" s="130" t="n"/>
      <c r="I33" s="131" t="n"/>
      <c r="J33" s="132" t="n"/>
      <c r="K33" s="133" t="n"/>
      <c r="L33" s="125" t="n"/>
      <c r="M33" s="125" t="n"/>
      <c r="N33" s="125" t="n"/>
      <c r="O33" s="125" t="n"/>
      <c r="P33" s="125" t="n"/>
      <c r="Q33" s="125" t="n"/>
      <c r="R33" s="125" t="n"/>
      <c r="S33" s="134" t="n"/>
      <c r="T33" s="135" t="n"/>
      <c r="U33" s="136" t="n"/>
      <c r="V33" s="68" t="n"/>
    </row>
    <row r="34" ht="18" customHeight="1">
      <c r="A34" s="118" t="n"/>
      <c r="B34" s="9" t="n"/>
      <c r="C34" s="10" t="n"/>
      <c r="D34" s="10" t="n"/>
      <c r="E34" s="119" t="n"/>
      <c r="F34" s="119" t="n"/>
      <c r="G34" s="120" t="n"/>
      <c r="H34" s="130" t="n"/>
      <c r="I34" s="131" t="n"/>
      <c r="J34" s="132" t="n"/>
      <c r="K34" s="133" t="n"/>
      <c r="L34" s="125" t="n"/>
      <c r="M34" s="125" t="n"/>
      <c r="N34" s="125" t="n"/>
      <c r="O34" s="125" t="n"/>
      <c r="P34" s="125" t="n"/>
      <c r="Q34" s="125" t="n"/>
      <c r="R34" s="125" t="n"/>
      <c r="S34" s="134" t="n"/>
      <c r="T34" s="135" t="n"/>
      <c r="U34" s="136" t="n"/>
      <c r="V34" s="68" t="n"/>
    </row>
    <row r="35" ht="18" customHeight="1">
      <c r="A35" s="118" t="n"/>
      <c r="B35" s="9" t="n"/>
      <c r="C35" s="10" t="n"/>
      <c r="D35" s="10" t="n"/>
      <c r="E35" s="119" t="n"/>
      <c r="F35" s="119" t="n"/>
      <c r="G35" s="120" t="n"/>
      <c r="H35" s="130" t="n"/>
      <c r="I35" s="131" t="n"/>
      <c r="J35" s="132" t="n"/>
      <c r="K35" s="133" t="n"/>
      <c r="L35" s="125" t="n"/>
      <c r="M35" s="125" t="n"/>
      <c r="N35" s="125" t="n"/>
      <c r="O35" s="125" t="n"/>
      <c r="P35" s="125" t="n"/>
      <c r="Q35" s="125" t="n"/>
      <c r="R35" s="125" t="n"/>
      <c r="S35" s="134" t="n"/>
      <c r="T35" s="135" t="n"/>
      <c r="U35" s="136" t="n"/>
      <c r="V35" s="68" t="n"/>
    </row>
    <row r="36" ht="18" customHeight="1">
      <c r="A36" s="118" t="n"/>
      <c r="B36" s="9" t="n"/>
      <c r="C36" s="10" t="n"/>
      <c r="D36" s="10" t="n"/>
      <c r="E36" s="139" t="n"/>
      <c r="F36" s="139" t="n"/>
      <c r="G36" s="120" t="n"/>
      <c r="H36" s="130" t="n"/>
      <c r="I36" s="131" t="n"/>
      <c r="J36" s="132" t="n"/>
      <c r="K36" s="133" t="n"/>
      <c r="L36" s="125" t="n"/>
      <c r="M36" s="125" t="n"/>
      <c r="N36" s="125" t="n"/>
      <c r="O36" s="125" t="n"/>
      <c r="P36" s="125" t="n"/>
      <c r="Q36" s="125" t="n"/>
      <c r="R36" s="125" t="n"/>
      <c r="S36" s="134" t="n"/>
      <c r="T36" s="135" t="n"/>
      <c r="U36" s="136" t="n"/>
      <c r="V36" s="68" t="n"/>
    </row>
    <row r="37" ht="18" customHeight="1">
      <c r="A37" s="118" t="n"/>
      <c r="B37" s="9" t="n"/>
      <c r="C37" s="10" t="n"/>
      <c r="D37" s="10" t="n"/>
      <c r="E37" s="119" t="n"/>
      <c r="F37" s="119" t="n"/>
      <c r="G37" s="120" t="n"/>
      <c r="H37" s="130" t="n"/>
      <c r="I37" s="131" t="n"/>
      <c r="J37" s="132" t="n"/>
      <c r="K37" s="133" t="n"/>
      <c r="L37" s="125" t="n"/>
      <c r="M37" s="125" t="n"/>
      <c r="N37" s="125" t="n"/>
      <c r="O37" s="125" t="n"/>
      <c r="P37" s="125" t="n"/>
      <c r="Q37" s="125" t="n"/>
      <c r="R37" s="125" t="n"/>
      <c r="S37" s="134" t="n"/>
      <c r="T37" s="135" t="n"/>
      <c r="U37" s="136" t="n"/>
      <c r="V37" s="68" t="n"/>
    </row>
    <row r="38" ht="18" customHeight="1">
      <c r="A38" s="118" t="n"/>
      <c r="B38" s="9" t="n"/>
      <c r="C38" s="10" t="n"/>
      <c r="D38" s="10" t="n"/>
      <c r="E38" s="139" t="n"/>
      <c r="F38" s="139" t="n"/>
      <c r="G38" s="120" t="n"/>
      <c r="H38" s="130" t="n"/>
      <c r="I38" s="131" t="n"/>
      <c r="J38" s="132" t="n"/>
      <c r="K38" s="133" t="n"/>
      <c r="L38" s="125" t="n"/>
      <c r="M38" s="125" t="n"/>
      <c r="N38" s="125" t="n"/>
      <c r="O38" s="125" t="n"/>
      <c r="P38" s="125" t="n"/>
      <c r="Q38" s="125" t="n"/>
      <c r="R38" s="125" t="n"/>
      <c r="S38" s="134" t="n"/>
      <c r="T38" s="135" t="n"/>
      <c r="U38" s="136" t="n"/>
      <c r="V38" s="68" t="n"/>
    </row>
    <row r="39" ht="18" customHeight="1">
      <c r="A39" s="118" t="n"/>
      <c r="B39" s="9" t="n"/>
      <c r="C39" s="10" t="n"/>
      <c r="D39" s="10" t="n"/>
      <c r="E39" s="119" t="n"/>
      <c r="F39" s="119" t="n"/>
      <c r="G39" s="120" t="n"/>
      <c r="H39" s="130" t="n"/>
      <c r="I39" s="131" t="n"/>
      <c r="J39" s="132" t="n"/>
      <c r="K39" s="133" t="n"/>
      <c r="L39" s="125" t="n"/>
      <c r="M39" s="125" t="n"/>
      <c r="N39" s="125" t="n"/>
      <c r="O39" s="125" t="n"/>
      <c r="P39" s="125" t="n"/>
      <c r="Q39" s="125" t="n"/>
      <c r="R39" s="125" t="n"/>
      <c r="S39" s="134" t="n"/>
      <c r="T39" s="135" t="n"/>
      <c r="U39" s="136" t="n"/>
      <c r="V39" s="68" t="n"/>
    </row>
    <row r="40" ht="18" customHeight="1">
      <c r="A40" s="118" t="n"/>
      <c r="B40" s="9" t="n"/>
      <c r="C40" s="10" t="n"/>
      <c r="D40" s="10" t="n"/>
      <c r="E40" s="139" t="n"/>
      <c r="F40" s="139" t="n"/>
      <c r="G40" s="120" t="n"/>
      <c r="H40" s="130" t="n"/>
      <c r="I40" s="131" t="n"/>
      <c r="J40" s="132" t="n"/>
      <c r="K40" s="133" t="n"/>
      <c r="L40" s="125" t="n"/>
      <c r="M40" s="125" t="n"/>
      <c r="N40" s="125" t="n"/>
      <c r="O40" s="125" t="n"/>
      <c r="P40" s="125" t="n"/>
      <c r="Q40" s="125" t="n"/>
      <c r="R40" s="125" t="n"/>
      <c r="S40" s="134" t="n"/>
      <c r="T40" s="135" t="n"/>
      <c r="U40" s="136" t="n"/>
      <c r="V40" s="68" t="n"/>
    </row>
    <row r="41" ht="18" customHeight="1">
      <c r="A41" s="118" t="n"/>
      <c r="B41" s="9" t="n"/>
      <c r="C41" s="10" t="n"/>
      <c r="D41" s="10" t="n"/>
      <c r="E41" s="119" t="n"/>
      <c r="F41" s="119" t="n"/>
      <c r="G41" s="120" t="n"/>
      <c r="H41" s="130" t="n"/>
      <c r="I41" s="131" t="n"/>
      <c r="J41" s="132" t="n"/>
      <c r="K41" s="133" t="n"/>
      <c r="L41" s="125" t="n"/>
      <c r="M41" s="125" t="n"/>
      <c r="N41" s="125" t="n"/>
      <c r="O41" s="125" t="n"/>
      <c r="P41" s="125" t="n"/>
      <c r="Q41" s="125" t="n"/>
      <c r="R41" s="125" t="n"/>
      <c r="S41" s="134" t="n"/>
      <c r="T41" s="135" t="n"/>
      <c r="U41" s="136" t="n"/>
      <c r="V41" s="68" t="n"/>
    </row>
    <row r="42" ht="18" customHeight="1">
      <c r="A42" s="118" t="n"/>
      <c r="B42" s="9" t="n"/>
      <c r="C42" s="10" t="n"/>
      <c r="D42" s="10" t="n"/>
      <c r="E42" s="139" t="n"/>
      <c r="F42" s="139" t="n"/>
      <c r="G42" s="120" t="n"/>
      <c r="H42" s="130" t="n"/>
      <c r="I42" s="131" t="n"/>
      <c r="J42" s="132" t="n"/>
      <c r="K42" s="133" t="n"/>
      <c r="L42" s="125" t="n"/>
      <c r="M42" s="125" t="n"/>
      <c r="N42" s="125" t="n"/>
      <c r="O42" s="125" t="n"/>
      <c r="P42" s="125" t="n"/>
      <c r="Q42" s="125" t="n"/>
      <c r="R42" s="125" t="n"/>
      <c r="S42" s="134" t="n"/>
      <c r="T42" s="135" t="n"/>
      <c r="U42" s="136" t="n"/>
      <c r="V42" s="68" t="n"/>
    </row>
    <row r="43" ht="18" customHeight="1">
      <c r="A43" s="118" t="n"/>
      <c r="B43" s="9" t="n"/>
      <c r="C43" s="10" t="n"/>
      <c r="D43" s="10" t="n"/>
      <c r="E43" s="119" t="n"/>
      <c r="F43" s="119" t="n"/>
      <c r="G43" s="120" t="n"/>
      <c r="H43" s="130" t="n"/>
      <c r="I43" s="131" t="n"/>
      <c r="J43" s="132" t="n"/>
      <c r="K43" s="133" t="n"/>
      <c r="L43" s="125" t="n"/>
      <c r="M43" s="125" t="n"/>
      <c r="N43" s="125" t="n"/>
      <c r="O43" s="125" t="n"/>
      <c r="P43" s="125" t="n"/>
      <c r="Q43" s="125" t="n"/>
      <c r="R43" s="125" t="n"/>
      <c r="S43" s="134" t="n"/>
      <c r="T43" s="135" t="n"/>
      <c r="U43" s="136" t="n"/>
      <c r="V43" s="68" t="n"/>
    </row>
    <row r="44" ht="18" customHeight="1">
      <c r="A44" s="118" t="n"/>
      <c r="B44" s="9" t="n"/>
      <c r="C44" s="10" t="n"/>
      <c r="D44" s="10" t="n"/>
      <c r="E44" s="119" t="n"/>
      <c r="F44" s="119" t="n"/>
      <c r="G44" s="120" t="n"/>
      <c r="H44" s="130" t="n"/>
      <c r="I44" s="131" t="n"/>
      <c r="J44" s="132" t="n"/>
      <c r="K44" s="133" t="n"/>
      <c r="L44" s="125" t="n"/>
      <c r="M44" s="125" t="n"/>
      <c r="N44" s="125" t="n"/>
      <c r="O44" s="125" t="n"/>
      <c r="P44" s="125" t="n"/>
      <c r="Q44" s="125" t="n"/>
      <c r="R44" s="125" t="n"/>
      <c r="S44" s="134" t="n"/>
      <c r="T44" s="135" t="n"/>
      <c r="U44" s="136" t="n"/>
      <c r="V44" s="68" t="n"/>
    </row>
    <row r="45" ht="18" customHeight="1">
      <c r="A45" s="118" t="n"/>
      <c r="B45" s="9" t="n"/>
      <c r="C45" s="10" t="n"/>
      <c r="D45" s="10" t="n"/>
      <c r="E45" s="139" t="n"/>
      <c r="F45" s="139" t="n"/>
      <c r="G45" s="120" t="n"/>
      <c r="H45" s="130" t="n"/>
      <c r="I45" s="131" t="n"/>
      <c r="J45" s="132" t="n"/>
      <c r="K45" s="133" t="n"/>
      <c r="L45" s="125" t="n"/>
      <c r="M45" s="125" t="n"/>
      <c r="N45" s="125" t="n"/>
      <c r="O45" s="125" t="n"/>
      <c r="P45" s="125" t="n"/>
      <c r="Q45" s="125" t="n"/>
      <c r="R45" s="125" t="n"/>
      <c r="S45" s="134" t="n"/>
      <c r="T45" s="135" t="n"/>
      <c r="U45" s="136" t="n"/>
      <c r="V45" s="68" t="n"/>
    </row>
    <row r="46" ht="18" customHeight="1">
      <c r="A46" s="118" t="n"/>
      <c r="B46" s="9" t="n"/>
      <c r="C46" s="10" t="n"/>
      <c r="D46" s="10" t="n"/>
      <c r="E46" s="119" t="n"/>
      <c r="F46" s="119" t="n"/>
      <c r="G46" s="120" t="n"/>
      <c r="H46" s="130" t="n"/>
      <c r="I46" s="131" t="n"/>
      <c r="J46" s="132" t="n"/>
      <c r="K46" s="133" t="n"/>
      <c r="L46" s="125" t="n"/>
      <c r="M46" s="125" t="n"/>
      <c r="N46" s="125" t="n"/>
      <c r="O46" s="125" t="n"/>
      <c r="P46" s="125" t="n"/>
      <c r="Q46" s="125" t="n"/>
      <c r="R46" s="125" t="n"/>
      <c r="S46" s="134" t="n"/>
      <c r="T46" s="135" t="n"/>
      <c r="U46" s="136" t="n"/>
      <c r="V46" s="68" t="n"/>
    </row>
    <row r="47" ht="18" customHeight="1">
      <c r="A47" s="118" t="n"/>
      <c r="B47" s="9" t="n"/>
      <c r="C47" s="10" t="n"/>
      <c r="D47" s="10" t="n"/>
      <c r="E47" s="119" t="n"/>
      <c r="F47" s="119" t="n"/>
      <c r="G47" s="120" t="n"/>
      <c r="H47" s="130" t="n"/>
      <c r="I47" s="131" t="n"/>
      <c r="J47" s="132" t="n"/>
      <c r="K47" s="133" t="n"/>
      <c r="L47" s="125" t="n"/>
      <c r="M47" s="125" t="n"/>
      <c r="N47" s="125" t="n"/>
      <c r="O47" s="125" t="n"/>
      <c r="P47" s="125" t="n"/>
      <c r="Q47" s="125" t="n"/>
      <c r="R47" s="125" t="n"/>
      <c r="S47" s="134" t="n"/>
      <c r="T47" s="135" t="n"/>
      <c r="U47" s="136" t="n"/>
      <c r="V47" s="68" t="n"/>
    </row>
    <row r="48" ht="18" customHeight="1">
      <c r="A48" s="118" t="n"/>
      <c r="B48" s="9" t="n"/>
      <c r="C48" s="10" t="n"/>
      <c r="D48" s="10" t="n"/>
      <c r="E48" s="139" t="n"/>
      <c r="F48" s="139" t="n"/>
      <c r="G48" s="120" t="n"/>
      <c r="H48" s="130" t="n"/>
      <c r="I48" s="131" t="n"/>
      <c r="J48" s="132" t="n"/>
      <c r="K48" s="133" t="n"/>
      <c r="L48" s="125" t="n"/>
      <c r="M48" s="125" t="n"/>
      <c r="N48" s="125" t="n"/>
      <c r="O48" s="125" t="n"/>
      <c r="P48" s="125" t="n"/>
      <c r="Q48" s="125" t="n"/>
      <c r="R48" s="125" t="n"/>
      <c r="S48" s="134" t="n"/>
      <c r="T48" s="135" t="n"/>
      <c r="U48" s="136" t="n"/>
      <c r="V48" s="68" t="n"/>
    </row>
    <row r="49" ht="18" customHeight="1">
      <c r="A49" s="118" t="n"/>
      <c r="B49" s="9" t="n"/>
      <c r="C49" s="10" t="n"/>
      <c r="D49" s="10" t="n"/>
      <c r="E49" s="119" t="n"/>
      <c r="F49" s="119" t="n"/>
      <c r="G49" s="120" t="n"/>
      <c r="H49" s="130" t="n"/>
      <c r="I49" s="131" t="n"/>
      <c r="J49" s="132" t="n"/>
      <c r="K49" s="133" t="n"/>
      <c r="L49" s="125" t="n"/>
      <c r="M49" s="125" t="n"/>
      <c r="N49" s="125" t="n"/>
      <c r="O49" s="125" t="n"/>
      <c r="P49" s="125" t="n"/>
      <c r="Q49" s="125" t="n"/>
      <c r="R49" s="125" t="n"/>
      <c r="S49" s="134" t="n"/>
      <c r="T49" s="135" t="n"/>
      <c r="U49" s="136" t="n"/>
      <c r="V49" s="68" t="n"/>
    </row>
    <row r="50" ht="18" customHeight="1">
      <c r="A50" s="118" t="n"/>
      <c r="B50" s="9" t="n"/>
      <c r="C50" s="10" t="n"/>
      <c r="D50" s="10" t="n"/>
      <c r="E50" s="139" t="n"/>
      <c r="F50" s="139" t="n"/>
      <c r="G50" s="120" t="n"/>
      <c r="H50" s="130" t="n"/>
      <c r="I50" s="131" t="n"/>
      <c r="J50" s="132" t="n"/>
      <c r="K50" s="133" t="n"/>
      <c r="L50" s="125" t="n"/>
      <c r="M50" s="125" t="n"/>
      <c r="N50" s="125" t="n"/>
      <c r="O50" s="125" t="n"/>
      <c r="P50" s="125" t="n"/>
      <c r="Q50" s="125" t="n"/>
      <c r="R50" s="125" t="n"/>
      <c r="S50" s="134" t="n"/>
      <c r="T50" s="135" t="n"/>
      <c r="U50" s="136" t="n"/>
      <c r="V50" s="68" t="n"/>
    </row>
    <row r="51" ht="18" customHeight="1">
      <c r="A51" s="118" t="n"/>
      <c r="B51" s="9" t="n"/>
      <c r="C51" s="10" t="n"/>
      <c r="D51" s="10" t="n"/>
      <c r="E51" s="119" t="n"/>
      <c r="F51" s="119" t="n"/>
      <c r="G51" s="120" t="n"/>
      <c r="H51" s="130" t="n"/>
      <c r="I51" s="131" t="n"/>
      <c r="J51" s="132" t="n"/>
      <c r="K51" s="133" t="n"/>
      <c r="L51" s="125" t="n"/>
      <c r="M51" s="125" t="n"/>
      <c r="N51" s="125" t="n"/>
      <c r="O51" s="125" t="n"/>
      <c r="P51" s="125" t="n"/>
      <c r="Q51" s="125" t="n"/>
      <c r="R51" s="125" t="n"/>
      <c r="S51" s="134" t="n"/>
      <c r="T51" s="135" t="n"/>
      <c r="U51" s="136" t="n"/>
      <c r="V51" s="68" t="n"/>
    </row>
    <row r="52" ht="18" customHeight="1">
      <c r="A52" s="118" t="n"/>
      <c r="B52" s="9" t="n"/>
      <c r="C52" s="10" t="n"/>
      <c r="D52" s="10" t="n"/>
      <c r="E52" s="139" t="n"/>
      <c r="F52" s="139" t="n"/>
      <c r="G52" s="120" t="n"/>
      <c r="H52" s="130" t="n"/>
      <c r="I52" s="131" t="n"/>
      <c r="J52" s="132" t="n"/>
      <c r="K52" s="133" t="n"/>
      <c r="L52" s="125" t="n"/>
      <c r="M52" s="125" t="n"/>
      <c r="N52" s="125" t="n"/>
      <c r="O52" s="125" t="n"/>
      <c r="P52" s="125" t="n"/>
      <c r="Q52" s="125" t="n"/>
      <c r="R52" s="125" t="n"/>
      <c r="S52" s="134" t="n"/>
      <c r="T52" s="135" t="n"/>
      <c r="U52" s="136" t="n"/>
      <c r="V52" s="68" t="n"/>
    </row>
    <row r="53" ht="18" customHeight="1">
      <c r="A53" s="118" t="n"/>
      <c r="B53" s="9" t="n"/>
      <c r="C53" s="10" t="n"/>
      <c r="D53" s="10" t="n"/>
      <c r="E53" s="119" t="n"/>
      <c r="F53" s="119" t="n"/>
      <c r="G53" s="120" t="n"/>
      <c r="H53" s="130" t="n"/>
      <c r="I53" s="131" t="n"/>
      <c r="J53" s="132" t="n"/>
      <c r="K53" s="133" t="n"/>
      <c r="L53" s="125" t="n"/>
      <c r="M53" s="125" t="n"/>
      <c r="N53" s="125" t="n"/>
      <c r="O53" s="125" t="n"/>
      <c r="P53" s="125" t="n"/>
      <c r="Q53" s="125" t="n"/>
      <c r="R53" s="125" t="n"/>
      <c r="S53" s="134" t="n"/>
      <c r="T53" s="135" t="n"/>
      <c r="U53" s="136" t="n"/>
      <c r="V53" s="68" t="n"/>
    </row>
    <row r="54" ht="18" customHeight="1">
      <c r="A54" s="118" t="n"/>
      <c r="B54" s="9" t="n"/>
      <c r="C54" s="10" t="n"/>
      <c r="D54" s="10" t="n"/>
      <c r="E54" s="139" t="n"/>
      <c r="F54" s="139" t="n"/>
      <c r="G54" s="120" t="n"/>
      <c r="H54" s="130" t="n"/>
      <c r="I54" s="131" t="n"/>
      <c r="J54" s="132" t="n"/>
      <c r="K54" s="133" t="n"/>
      <c r="L54" s="125" t="n"/>
      <c r="M54" s="125" t="n"/>
      <c r="N54" s="125" t="n"/>
      <c r="O54" s="125" t="n"/>
      <c r="P54" s="125" t="n"/>
      <c r="Q54" s="125" t="n"/>
      <c r="R54" s="125" t="n"/>
      <c r="S54" s="134" t="n"/>
      <c r="T54" s="135" t="n"/>
      <c r="U54" s="136" t="n"/>
      <c r="V54" s="68" t="n"/>
    </row>
    <row r="55" ht="18" customHeight="1">
      <c r="A55" s="142" t="n"/>
      <c r="B55" s="21" t="n"/>
      <c r="C55" s="22" t="n"/>
      <c r="D55" s="22" t="n"/>
      <c r="E55" s="143" t="n"/>
      <c r="F55" s="143" t="n"/>
      <c r="G55" s="144" t="n"/>
      <c r="H55" s="145" t="n"/>
      <c r="I55" s="131" t="n"/>
      <c r="J55" s="132" t="n"/>
      <c r="K55" s="133" t="n"/>
      <c r="L55" s="125" t="n"/>
      <c r="M55" s="125" t="n"/>
      <c r="N55" s="125" t="n"/>
      <c r="O55" s="125" t="n"/>
      <c r="P55" s="125" t="n"/>
      <c r="Q55" s="125" t="n"/>
      <c r="R55" s="125" t="n"/>
      <c r="S55" s="134" t="n"/>
      <c r="T55" s="135" t="n"/>
      <c r="U55" s="136" t="n"/>
      <c r="V55" s="68" t="n"/>
    </row>
    <row r="56" ht="18" customHeight="1">
      <c r="A56" s="146" t="n"/>
      <c r="B56" s="27" t="n"/>
      <c r="C56" s="28" t="n"/>
      <c r="D56" s="28" t="n"/>
      <c r="E56" s="147" t="n"/>
      <c r="F56" s="147" t="n"/>
      <c r="G56" s="140" t="n"/>
      <c r="H56" s="141" t="n"/>
      <c r="I56" s="131" t="n"/>
      <c r="J56" s="132" t="n"/>
      <c r="K56" s="133" t="n"/>
      <c r="L56" s="125" t="n"/>
      <c r="M56" s="125" t="n"/>
      <c r="N56" s="125" t="n"/>
      <c r="O56" s="125" t="n"/>
      <c r="P56" s="125" t="n"/>
      <c r="Q56" s="125" t="n"/>
      <c r="R56" s="125" t="n"/>
      <c r="S56" s="134" t="n"/>
      <c r="T56" s="135" t="n"/>
      <c r="U56" s="136" t="n"/>
      <c r="V56" s="68" t="n"/>
    </row>
    <row r="57" ht="18" customHeight="1">
      <c r="A57" s="118" t="n"/>
      <c r="B57" s="9" t="n"/>
      <c r="C57" s="10" t="n"/>
      <c r="D57" s="10" t="n"/>
      <c r="E57" s="119" t="n"/>
      <c r="F57" s="119" t="n"/>
      <c r="G57" s="120" t="n"/>
      <c r="H57" s="130" t="n"/>
      <c r="I57" s="131" t="n"/>
      <c r="J57" s="132" t="n"/>
      <c r="K57" s="133" t="n"/>
      <c r="L57" s="125" t="n"/>
      <c r="M57" s="125" t="n"/>
      <c r="N57" s="125" t="n"/>
      <c r="O57" s="125" t="n"/>
      <c r="P57" s="125" t="n"/>
      <c r="Q57" s="125" t="n"/>
      <c r="R57" s="125" t="n"/>
      <c r="S57" s="134" t="n"/>
      <c r="T57" s="135" t="n"/>
      <c r="U57" s="136" t="n"/>
      <c r="V57" s="68" t="n"/>
    </row>
    <row r="58" ht="18" customHeight="1">
      <c r="A58" s="142" t="n"/>
      <c r="B58" s="21" t="n"/>
      <c r="C58" s="22" t="n"/>
      <c r="D58" s="22" t="n"/>
      <c r="E58" s="148" t="n"/>
      <c r="F58" s="148" t="n"/>
      <c r="G58" s="144" t="n"/>
      <c r="H58" s="145" t="n"/>
      <c r="I58" s="149" t="n"/>
      <c r="J58" s="150" t="n"/>
      <c r="K58" s="151" t="n"/>
      <c r="L58" s="125" t="n"/>
      <c r="M58" s="125" t="n"/>
      <c r="N58" s="125" t="n"/>
      <c r="O58" s="125" t="n"/>
      <c r="P58" s="152" t="n"/>
      <c r="Q58" s="125" t="n"/>
      <c r="R58" s="125" t="n"/>
      <c r="S58" s="153" t="n"/>
      <c r="T58" s="154" t="n"/>
      <c r="U58" s="155" t="n"/>
      <c r="V58" s="68" t="n"/>
    </row>
    <row r="59" ht="18" customHeight="1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78" t="n"/>
      <c r="V59" s="68" t="n"/>
    </row>
    <row r="60" ht="23.1" customHeight="1">
      <c r="A60" s="33" t="n"/>
      <c r="B60" s="34" t="n"/>
      <c r="C60" s="34" t="n"/>
      <c r="D60" s="34" t="n"/>
      <c r="E60" s="34" t="n"/>
      <c r="F60" s="34" t="n"/>
      <c r="G60" s="35" t="n"/>
      <c r="H60" s="36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68" t="n"/>
    </row>
    <row r="61" ht="18" customHeight="1">
      <c r="A61" s="110" t="n"/>
      <c r="B61" s="34" t="n"/>
      <c r="C61" s="34" t="n"/>
      <c r="D61" s="34" t="n"/>
      <c r="E61" s="34" t="n"/>
      <c r="F61" s="34" t="n"/>
      <c r="H61" s="36" t="n"/>
      <c r="L61" s="156" t="n"/>
      <c r="M61" s="157" t="n"/>
      <c r="N61" s="157" t="n"/>
      <c r="O61" s="157" t="n"/>
      <c r="P61" s="157" t="n"/>
      <c r="Q61" s="157" t="n"/>
      <c r="R61" s="157" t="n"/>
      <c r="S61" s="158" t="n"/>
      <c r="T61" s="158" t="n"/>
      <c r="U61" s="157" t="n"/>
      <c r="V61" s="68" t="n"/>
    </row>
    <row r="62" ht="18" customHeight="1">
      <c r="A62" s="110" t="n"/>
      <c r="B62" s="111" t="n"/>
      <c r="C62" s="111" t="n"/>
      <c r="D62" s="111" t="n"/>
      <c r="E62" s="34" t="n"/>
      <c r="F62" s="34" t="n"/>
      <c r="G62" s="159" t="n"/>
      <c r="H62" s="159" t="n"/>
      <c r="I62" s="112" t="n"/>
      <c r="J62" s="112" t="n"/>
      <c r="K62" s="156" t="n"/>
      <c r="L62" s="160" t="n"/>
      <c r="M62" s="110" t="n"/>
      <c r="N62" s="157" t="n"/>
      <c r="O62" s="111" t="n"/>
      <c r="P62" s="110" t="n"/>
      <c r="Q62" s="157" t="n"/>
      <c r="R62" s="157" t="n"/>
      <c r="T62" s="158" t="n"/>
      <c r="V62" s="68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65" t="n"/>
      <c r="K63" s="65" t="n"/>
      <c r="L63" s="40" t="n"/>
      <c r="M63" s="161" t="n"/>
      <c r="N63" s="40" t="n"/>
      <c r="O63" s="161" t="n"/>
      <c r="P63" s="161" t="n"/>
      <c r="Q63" s="161" t="n"/>
      <c r="R63" s="161" t="n"/>
      <c r="S63" s="161" t="n"/>
      <c r="T63" s="161" t="n"/>
      <c r="U63" s="161" t="n"/>
      <c r="V63" s="68" t="n"/>
    </row>
    <row r="64">
      <c r="A64" s="41" t="n"/>
      <c r="B64" s="104" t="n"/>
      <c r="C64" s="42" t="n"/>
      <c r="D64" s="42" t="n"/>
      <c r="E64" s="112" t="n"/>
      <c r="F64" s="112" t="n"/>
      <c r="G64" s="44" t="n"/>
      <c r="H64" s="45" t="n"/>
      <c r="I64" s="42" t="n"/>
      <c r="J64" s="112" t="n"/>
      <c r="K64" s="112" t="n"/>
      <c r="L64" s="44" t="n"/>
      <c r="M64" s="45" t="n"/>
      <c r="N64" s="42" t="n"/>
      <c r="O64" s="42" t="n"/>
      <c r="P64" s="112" t="n"/>
      <c r="R64" s="45" t="n"/>
      <c r="T64" s="45" t="n"/>
      <c r="U64" s="80" t="n"/>
      <c r="V64" s="68" t="n"/>
    </row>
    <row r="65">
      <c r="A65" s="81" t="n"/>
      <c r="B65" s="42" t="n"/>
      <c r="C65" s="42" t="n"/>
      <c r="D65" s="42" t="n"/>
      <c r="E65" s="8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80" t="n"/>
      <c r="V65" s="68" t="n"/>
    </row>
    <row r="66">
      <c r="A66" s="45" t="n"/>
      <c r="C66" s="42" t="n"/>
      <c r="D66" s="42" t="n"/>
      <c r="E66" s="112" t="n"/>
      <c r="F66" s="112" t="n"/>
      <c r="G66" s="44" t="n"/>
      <c r="H66" s="45" t="n"/>
      <c r="I66" s="42" t="n"/>
      <c r="J66" s="112" t="n"/>
      <c r="K66" s="112" t="n"/>
      <c r="L66" s="45" t="n"/>
      <c r="N66" s="42" t="n"/>
      <c r="O66" s="42" t="n"/>
      <c r="P66" s="112" t="n"/>
      <c r="R66" s="41" t="n"/>
      <c r="S66" s="104" t="n"/>
      <c r="T66" s="41" t="n"/>
      <c r="U66" s="80" t="n"/>
      <c r="V66" s="68" t="n"/>
    </row>
    <row r="67">
      <c r="A67" s="81" t="n"/>
      <c r="B67" s="42" t="n"/>
      <c r="C67" s="42" t="n"/>
      <c r="D67" s="42" t="n"/>
      <c r="E67" s="42" t="n"/>
      <c r="F67" s="42" t="n"/>
      <c r="G67" s="42" t="n"/>
      <c r="H67" s="156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80" t="n"/>
      <c r="V67" s="68" t="n"/>
    </row>
    <row r="68">
      <c r="A68" s="44" t="n"/>
      <c r="B68" s="45" t="n"/>
      <c r="C68" s="42" t="n"/>
      <c r="D68" s="42" t="n"/>
      <c r="E68" s="112" t="n"/>
      <c r="F68" s="112" t="n"/>
      <c r="G68" s="44" t="n"/>
      <c r="H68" s="45" t="n"/>
      <c r="I68" s="42" t="n"/>
      <c r="J68" s="112" t="n"/>
      <c r="K68" s="112" t="n"/>
      <c r="L68" s="45" t="n"/>
      <c r="N68" s="42" t="n"/>
      <c r="O68" s="42" t="n"/>
      <c r="P68" s="112" t="n"/>
      <c r="R68" s="45" t="n"/>
      <c r="T68" s="45" t="n"/>
      <c r="U68" s="80" t="n"/>
      <c r="V68" s="68" t="n"/>
    </row>
    <row r="69">
      <c r="A69" s="81" t="n"/>
      <c r="B69" s="42" t="n"/>
      <c r="C69" s="42" t="n"/>
      <c r="D69" s="42" t="n"/>
      <c r="E69" s="82" t="n"/>
      <c r="J69" s="81" t="n"/>
      <c r="K69" s="81" t="n"/>
      <c r="L69" s="42" t="n"/>
      <c r="M69" s="42" t="n"/>
      <c r="N69" s="42" t="n"/>
      <c r="O69" s="42" t="n"/>
      <c r="P69" s="42" t="n"/>
      <c r="Q69" s="42" t="n"/>
      <c r="R69" s="81" t="n"/>
      <c r="S69" s="44" t="n"/>
      <c r="T69" s="44" t="n"/>
      <c r="U69" s="85" t="n"/>
      <c r="V69" s="68" t="n"/>
    </row>
    <row r="70">
      <c r="A70" s="44" t="n"/>
      <c r="B70" s="45" t="n"/>
      <c r="C70" s="42" t="n"/>
      <c r="D70" s="42" t="n"/>
      <c r="E70" s="112" t="n"/>
      <c r="F70" s="112" t="n"/>
      <c r="G70" s="45" t="n"/>
      <c r="I70" s="42" t="n"/>
      <c r="J70" s="162" t="n"/>
      <c r="K70" s="162" t="n"/>
      <c r="L70" s="41" t="n"/>
      <c r="M70" s="104" t="n"/>
      <c r="N70" s="42" t="n"/>
      <c r="O70" s="42" t="n"/>
      <c r="P70" s="112" t="n"/>
      <c r="R70" s="41" t="n"/>
      <c r="S70" s="104" t="n"/>
      <c r="T70" s="41" t="n"/>
      <c r="U70" s="80" t="n"/>
      <c r="V70" s="68" t="n"/>
    </row>
    <row r="71">
      <c r="A71" s="83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3" t="n"/>
      <c r="S71" s="80" t="n"/>
      <c r="T71" s="80" t="n"/>
      <c r="U71" s="85" t="n"/>
      <c r="V71" s="68" t="n"/>
    </row>
    <row r="74"/>
    <row r="75"/>
    <row r="76"/>
    <row r="77"/>
    <row r="78"/>
    <row r="79"/>
    <row r="80"/>
    <row r="81"/>
    <row r="82"/>
  </sheetData>
  <mergeCells count="23">
    <mergeCell ref="P64:Q64"/>
    <mergeCell ref="A64:B64"/>
    <mergeCell ref="R64:S64"/>
    <mergeCell ref="S61:S62"/>
    <mergeCell ref="U61:U62"/>
    <mergeCell ref="L66:M66"/>
    <mergeCell ref="G70:H70"/>
    <mergeCell ref="L68:M68"/>
    <mergeCell ref="A66:B66"/>
    <mergeCell ref="E69:I69"/>
    <mergeCell ref="P70:Q70"/>
    <mergeCell ref="G1:L1"/>
    <mergeCell ref="E65:I65"/>
    <mergeCell ref="N1:U1"/>
    <mergeCell ref="R70:S70"/>
    <mergeCell ref="G60:G61"/>
    <mergeCell ref="P66:Q66"/>
    <mergeCell ref="R66:S66"/>
    <mergeCell ref="H60:K60"/>
    <mergeCell ref="P68:Q68"/>
    <mergeCell ref="H61:K61"/>
    <mergeCell ref="R68:S68"/>
    <mergeCell ref="L70:M70"/>
  </mergeCells>
  <conditionalFormatting sqref="A3:A34">
    <cfRule type="containsText" priority="2" operator="between" dxfId="0" text="AUG">
      <formula>NOT(ISERROR(SEARCH("AUG",A3)))</formula>
    </cfRule>
    <cfRule type="containsText" priority="1" operator="between" dxfId="0" text="AUG">
      <formula>NOT(ISERROR(SEARCH("AUG",A3)))</formula>
    </cfRule>
  </conditionalFormatting>
  <dataValidations count="3">
    <dataValidation sqref="A3:A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E3:F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G3:H58" showDropDown="0" showInputMessage="1" showErrorMessage="1" allowBlank="1" error="Valid date and time entry dd/mm hh:mm" type="date" errorStyle="information" operator="between">
      <formula1>44197</formula1>
      <formula2>54789</formula2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Sector’s</dc:creator>
  <dcterms:created xmlns:dcterms="http://purl.org/dc/terms/" xmlns:xsi="http://www.w3.org/2001/XMLSchema-instance" xsi:type="dcterms:W3CDTF">2011-03-08T15:16:00Z</dcterms:created>
  <dcterms:modified xmlns:dcterms="http://purl.org/dc/terms/" xmlns:xsi="http://www.w3.org/2001/XMLSchema-instance" xsi:type="dcterms:W3CDTF">2026-09-06T02:30:44Z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C19E4E50846C4A68A8BCAFAC1889D9AA_12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