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781" firstSheet="0" activeTab="0" autoFilterDateGrouping="1"/>
  </bookViews>
  <sheets>
    <sheet xmlns:r="http://schemas.openxmlformats.org/officeDocument/2006/relationships" name="RS.Food" sheetId="1" state="visible" r:id="rId1"/>
    <sheet xmlns:r="http://schemas.openxmlformats.org/officeDocument/2006/relationships" name="Sheet1" sheetId="2" state="visible" r:id="rId2"/>
  </sheets>
  <definedNames>
    <definedName name="_xlnm._FilterDatabase" localSheetId="0" hidden="1">'RS.Food'!$A$5:$K$607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&quot;£&quot;#,##0.00"/>
  </numFmts>
  <fonts count="33">
    <font>
      <name val="等线"/>
      <charset val="134"/>
      <color indexed="8"/>
      <sz val="11"/>
      <scheme val="minor"/>
    </font>
    <font>
      <name val="等线"/>
      <charset val="134"/>
      <color indexed="8"/>
      <sz val="10"/>
      <scheme val="minor"/>
    </font>
    <font>
      <name val="等线"/>
      <charset val="134"/>
      <color indexed="8"/>
      <sz val="8"/>
      <scheme val="minor"/>
    </font>
    <font>
      <name val="Helvetica"/>
      <charset val="134"/>
      <b val="1"/>
      <sz val="11"/>
    </font>
    <font>
      <name val="Helvetica"/>
      <charset val="134"/>
      <b val="1"/>
      <sz val="10"/>
    </font>
    <font>
      <name val="Helvetica"/>
      <charset val="134"/>
      <color rgb="FF000000"/>
      <sz val="10"/>
    </font>
    <font>
      <name val="等线"/>
      <charset val="134"/>
      <b val="1"/>
      <color indexed="8"/>
      <sz val="8"/>
      <scheme val="minor"/>
    </font>
    <font>
      <name val="Arial Unicode MS"/>
      <charset val="134"/>
      <color indexed="8"/>
      <sz val="10"/>
    </font>
    <font>
      <name val="等线"/>
      <charset val="134"/>
      <color rgb="FF0000FF"/>
      <sz val="11"/>
      <scheme val="minor"/>
    </font>
    <font>
      <name val="等线"/>
      <charset val="134"/>
      <color indexed="8"/>
      <sz val="13"/>
      <scheme val="minor"/>
    </font>
    <font>
      <name val="等线"/>
      <charset val="134"/>
      <b val="1"/>
      <color indexed="8"/>
      <sz val="13"/>
      <scheme val="minor"/>
    </font>
    <font>
      <name val="等线"/>
      <charset val="134"/>
      <b val="1"/>
      <color indexed="8"/>
      <sz val="11"/>
      <scheme val="minor"/>
    </font>
    <font>
      <name val="Arial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6" borderId="23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24" applyAlignment="1">
      <alignment vertical="center"/>
    </xf>
    <xf numFmtId="0" fontId="20" fillId="0" borderId="24" applyAlignment="1">
      <alignment vertical="center"/>
    </xf>
    <xf numFmtId="0" fontId="21" fillId="0" borderId="25" applyAlignment="1">
      <alignment vertical="center"/>
    </xf>
    <xf numFmtId="0" fontId="21" fillId="0" borderId="0" applyAlignment="1">
      <alignment vertical="center"/>
    </xf>
    <xf numFmtId="0" fontId="22" fillId="7" borderId="26" applyAlignment="1">
      <alignment vertical="center"/>
    </xf>
    <xf numFmtId="0" fontId="23" fillId="8" borderId="27" applyAlignment="1">
      <alignment vertical="center"/>
    </xf>
    <xf numFmtId="0" fontId="24" fillId="8" borderId="26" applyAlignment="1">
      <alignment vertical="center"/>
    </xf>
    <xf numFmtId="0" fontId="25" fillId="9" borderId="28" applyAlignment="1">
      <alignment vertical="center"/>
    </xf>
    <xf numFmtId="0" fontId="26" fillId="0" borderId="29" applyAlignment="1">
      <alignment vertical="center"/>
    </xf>
    <xf numFmtId="0" fontId="27" fillId="0" borderId="3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2" fillId="4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pivotButton="0" quotePrefix="0" xfId="49"/>
    <xf numFmtId="0" fontId="0" fillId="0" borderId="0" pivotButton="0" quotePrefix="0" xfId="49"/>
    <xf numFmtId="1" fontId="0" fillId="0" borderId="0" pivotButton="0" quotePrefix="0" xfId="49"/>
    <xf numFmtId="0" fontId="2" fillId="0" borderId="0" applyAlignment="1" pivotButton="0" quotePrefix="0" xfId="49">
      <alignment horizontal="left" vertical="top"/>
    </xf>
    <xf numFmtId="0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0" borderId="0" applyAlignment="1" pivotButton="0" quotePrefix="0" xfId="49">
      <alignment vertical="center"/>
    </xf>
    <xf numFmtId="0" fontId="5" fillId="2" borderId="0" applyAlignment="1" pivotButton="0" quotePrefix="0" xfId="49">
      <alignment vertical="center"/>
    </xf>
    <xf numFmtId="0" fontId="5" fillId="2" borderId="0" applyAlignment="1" pivotButton="0" quotePrefix="0" xfId="49">
      <alignment horizontal="right" vertical="center"/>
    </xf>
    <xf numFmtId="0" fontId="3" fillId="0" borderId="0" applyAlignment="1" pivotButton="0" quotePrefix="0" xfId="0">
      <alignment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3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0" fontId="5" fillId="3" borderId="0" applyAlignment="1" pivotButton="0" quotePrefix="0" xfId="49">
      <alignment horizontal="right" vertical="center"/>
    </xf>
    <xf numFmtId="0" fontId="5" fillId="2" borderId="0" applyAlignment="1" pivotButton="0" quotePrefix="0" xfId="0">
      <alignment horizontal="right" vertical="center"/>
    </xf>
    <xf numFmtId="1" fontId="5" fillId="2" borderId="0" applyAlignment="1" pivotButton="0" quotePrefix="0" xfId="0">
      <alignment horizontal="right" vertical="center"/>
    </xf>
    <xf numFmtId="0" fontId="6" fillId="4" borderId="1" applyAlignment="1" pivotButton="0" quotePrefix="0" xfId="49">
      <alignment horizontal="left" vertical="top"/>
    </xf>
    <xf numFmtId="0" fontId="7" fillId="0" borderId="0" applyAlignment="1" pivotButton="0" quotePrefix="0" xfId="0">
      <alignment vertical="center"/>
    </xf>
    <xf numFmtId="1" fontId="8" fillId="0" borderId="0" pivotButton="0" quotePrefix="0" xfId="0"/>
    <xf numFmtId="0" fontId="0" fillId="0" borderId="2" pivotButton="0" quotePrefix="0" xfId="49"/>
    <xf numFmtId="0" fontId="6" fillId="4" borderId="3" applyAlignment="1" pivotButton="0" quotePrefix="0" xfId="49">
      <alignment horizontal="left" vertical="top"/>
    </xf>
    <xf numFmtId="0" fontId="0" fillId="0" borderId="4" pivotButton="0" quotePrefix="0" xfId="49"/>
    <xf numFmtId="0" fontId="6" fillId="5" borderId="5" applyAlignment="1" pivotButton="0" quotePrefix="0" xfId="49">
      <alignment horizontal="left" vertical="top"/>
    </xf>
    <xf numFmtId="0" fontId="9" fillId="0" borderId="6" pivotButton="0" quotePrefix="0" xfId="0"/>
    <xf numFmtId="0" fontId="10" fillId="0" borderId="7" applyAlignment="1" pivotButton="0" quotePrefix="0" xfId="0">
      <alignment horizontal="center"/>
    </xf>
    <xf numFmtId="0" fontId="9" fillId="0" borderId="7" pivotButton="0" quotePrefix="0" xfId="0"/>
    <xf numFmtId="165" fontId="9" fillId="0" borderId="7" pivotButton="0" quotePrefix="0" xfId="0"/>
    <xf numFmtId="10" fontId="9" fillId="0" borderId="7" pivotButton="0" quotePrefix="0" xfId="0"/>
    <xf numFmtId="10" fontId="9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5" fontId="0" fillId="0" borderId="10" pivotButton="0" quotePrefix="0" xfId="0"/>
    <xf numFmtId="10" fontId="0" fillId="0" borderId="10" pivotButton="0" quotePrefix="0" xfId="0"/>
    <xf numFmtId="10" fontId="0" fillId="0" borderId="11" pivotButton="0" quotePrefix="0" xfId="0"/>
    <xf numFmtId="0" fontId="0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65" fontId="0" fillId="0" borderId="12" applyAlignment="1" pivotButton="0" quotePrefix="0" xfId="0">
      <alignment horizontal="center"/>
    </xf>
    <xf numFmtId="10" fontId="0" fillId="0" borderId="7" applyAlignment="1" pivotButton="0" quotePrefix="0" xfId="0">
      <alignment horizontal="center"/>
    </xf>
    <xf numFmtId="10" fontId="0" fillId="0" borderId="8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165" fontId="0" fillId="0" borderId="14" pivotButton="0" quotePrefix="0" xfId="0"/>
    <xf numFmtId="10" fontId="0" fillId="0" borderId="14" pivotButton="0" quotePrefix="0" xfId="0"/>
    <xf numFmtId="10" fontId="0" fillId="0" borderId="15" pivotButton="0" quotePrefix="0" xfId="0"/>
    <xf numFmtId="0" fontId="0" fillId="0" borderId="16" pivotButton="0" quotePrefix="0" xfId="0"/>
    <xf numFmtId="0" fontId="12" fillId="0" borderId="17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65" fontId="0" fillId="0" borderId="19" pivotButton="0" quotePrefix="0" xfId="0"/>
    <xf numFmtId="10" fontId="0" fillId="0" borderId="19" pivotButton="0" quotePrefix="0" xfId="0"/>
    <xf numFmtId="10" fontId="0" fillId="0" borderId="20" pivotButton="0" quotePrefix="0" xfId="0"/>
    <xf numFmtId="0" fontId="0" fillId="0" borderId="6" pivotButton="0" quotePrefix="0" xfId="0"/>
    <xf numFmtId="0" fontId="0" fillId="0" borderId="7" pivotButton="0" quotePrefix="0" xfId="0"/>
    <xf numFmtId="165" fontId="0" fillId="0" borderId="7" pivotButton="0" quotePrefix="0" xfId="0"/>
    <xf numFmtId="10" fontId="0" fillId="0" borderId="7" pivotButton="0" quotePrefix="0" xfId="0"/>
    <xf numFmtId="10" fontId="0" fillId="0" borderId="8" pivotButton="0" quotePrefix="0" xfId="0"/>
    <xf numFmtId="2" fontId="0" fillId="0" borderId="0" pivotButton="0" quotePrefix="0" xfId="0"/>
    <xf numFmtId="0" fontId="6" fillId="4" borderId="21" applyAlignment="1" pivotButton="0" quotePrefix="0" xfId="49">
      <alignment horizontal="left" vertical="top"/>
    </xf>
    <xf numFmtId="0" fontId="0" fillId="0" borderId="22" pivotButton="0" quotePrefix="0" xfId="49"/>
    <xf numFmtId="165" fontId="9" fillId="0" borderId="7" pivotButton="0" quotePrefix="0" xfId="0"/>
    <xf numFmtId="164" fontId="4" fillId="0" borderId="0" applyAlignment="1" pivotButton="0" quotePrefix="0" xfId="0">
      <alignment horizontal="right" vertical="center"/>
    </xf>
    <xf numFmtId="165" fontId="0" fillId="0" borderId="10" pivotButton="0" quotePrefix="0" xfId="0"/>
    <xf numFmtId="165" fontId="0" fillId="0" borderId="12" applyAlignment="1" pivotButton="0" quotePrefix="0" xfId="0">
      <alignment horizontal="center"/>
    </xf>
    <xf numFmtId="164" fontId="5" fillId="0" borderId="0" applyAlignment="1" pivotButton="0" quotePrefix="0" xfId="0">
      <alignment horizontal="right" vertical="center"/>
    </xf>
    <xf numFmtId="165" fontId="0" fillId="0" borderId="14" pivotButton="0" quotePrefix="0" xfId="0"/>
    <xf numFmtId="165" fontId="0" fillId="0" borderId="19" pivotButton="0" quotePrefix="0" xfId="0"/>
    <xf numFmtId="165" fontId="0" fillId="0" borderId="7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7"/>
  <sheetViews>
    <sheetView tabSelected="1" topLeftCell="F1" workbookViewId="0">
      <selection activeCell="K6" sqref="K6"/>
    </sheetView>
  </sheetViews>
  <sheetFormatPr baseColWidth="8" defaultColWidth="9" defaultRowHeight="14"/>
  <cols>
    <col width="30" customWidth="1" style="4" min="1" max="1"/>
    <col width="24" customWidth="1" style="4" min="2" max="2"/>
    <col width="8.28333333333333" customWidth="1" style="4" min="3" max="3"/>
    <col width="14.425" customWidth="1" style="4" min="4" max="4"/>
    <col width="15.2833333333333" customWidth="1" style="4" min="5" max="5"/>
    <col width="14.2833333333333" customWidth="1" style="4" min="6" max="6"/>
    <col width="8.70833333333333" customWidth="1" style="4" min="7" max="7"/>
    <col width="13.5666666666667" customWidth="1" style="4" min="8" max="8"/>
    <col width="13.5666666666667" customWidth="1" style="4" min="9" max="9"/>
    <col width="8.858333333333331" customWidth="1" style="4" min="10" max="10"/>
    <col width="13.425" customWidth="1" style="5" min="11" max="11"/>
    <col width="1.85833333333333" customWidth="1" style="4" min="12" max="12"/>
    <col width="2" customWidth="1" style="4" min="13" max="13"/>
    <col width="7.425" customWidth="1" style="6" min="14" max="14"/>
    <col width="25.1416666666667" customWidth="1" style="4" min="15" max="15"/>
    <col width="1.56666666666667" customWidth="1" style="4" min="16" max="17"/>
    <col width="9.141666666666669" customWidth="1" style="4" min="18" max="18"/>
    <col width="20.5666666666667" customWidth="1" style="4" min="19" max="19"/>
    <col width="9.141666666666669" customWidth="1" style="4" min="20" max="20"/>
    <col width="10.1416666666667" customWidth="1" style="4" min="21" max="21"/>
    <col width="12.1416666666667" customWidth="1" style="4" min="22" max="23"/>
    <col width="9.141666666666669" customWidth="1" style="4" min="24" max="16384"/>
  </cols>
  <sheetData>
    <row r="1">
      <c r="A1" s="7" t="inlineStr">
        <is>
          <t>Sales Mix by Item Group</t>
        </is>
      </c>
    </row>
    <row r="2">
      <c r="A2" s="8" t="inlineStr">
        <is>
          <t>Business Dates</t>
        </is>
      </c>
      <c r="B2" s="9" t="inlineStr">
        <is>
          <t>01/08/2021 - 31/08/2021</t>
        </is>
      </c>
    </row>
    <row r="3">
      <c r="A3" s="8" t="inlineStr">
        <is>
          <t>Locations</t>
        </is>
      </c>
      <c r="B3" s="9" t="inlineStr">
        <is>
          <t>All</t>
        </is>
      </c>
    </row>
    <row r="4" ht="14.75" customHeight="1">
      <c r="A4" s="8" t="inlineStr">
        <is>
          <t>Revenue Centers</t>
        </is>
      </c>
      <c r="B4" s="9" t="inlineStr">
        <is>
          <t>Room Service</t>
        </is>
      </c>
    </row>
    <row r="5" ht="17.25" customHeight="1">
      <c r="A5" s="10" t="inlineStr">
        <is>
          <t>Group</t>
        </is>
      </c>
      <c r="B5" s="11" t="inlineStr">
        <is>
          <t>Net Sales (less Item Disc)</t>
        </is>
      </c>
      <c r="C5" s="11" t="inlineStr">
        <is>
          <t>% Sales</t>
        </is>
      </c>
      <c r="D5" s="11" t="inlineStr">
        <is>
          <t>% Major Group</t>
        </is>
      </c>
      <c r="E5" s="11" t="inlineStr">
        <is>
          <t>% Family Group</t>
        </is>
      </c>
      <c r="F5" s="11" t="inlineStr">
        <is>
          <t>Item Discounts</t>
        </is>
      </c>
      <c r="G5" s="11" t="inlineStr">
        <is>
          <t>Qty Sold</t>
        </is>
      </c>
      <c r="H5" s="11" t="inlineStr">
        <is>
          <t>Average Price</t>
        </is>
      </c>
      <c r="I5" s="21" t="inlineStr">
        <is>
          <t>Item Class</t>
        </is>
      </c>
      <c r="J5" s="22" t="inlineStr">
        <is>
          <t>Rank Qty</t>
        </is>
      </c>
      <c r="K5" s="23" t="inlineStr">
        <is>
          <t>Category Rank</t>
        </is>
      </c>
      <c r="N5" s="24" t="inlineStr">
        <is>
          <t>Type</t>
        </is>
      </c>
      <c r="O5" s="24" t="inlineStr">
        <is>
          <t>Menu Item</t>
        </is>
      </c>
      <c r="R5" s="31" t="n"/>
      <c r="S5" s="32" t="inlineStr">
        <is>
          <t>Room Service</t>
        </is>
      </c>
      <c r="T5" s="33" t="n"/>
      <c r="U5" s="69" t="n"/>
      <c r="V5" s="35" t="n"/>
      <c r="W5" s="36" t="n"/>
    </row>
    <row r="6" ht="14.75" customHeight="1">
      <c r="A6" s="12" t="inlineStr">
        <is>
          <t>Food</t>
        </is>
      </c>
      <c r="B6" s="13" t="n">
        <v>113209.8</v>
      </c>
      <c r="C6" s="70" t="n">
        <v>0.725888575490045</v>
      </c>
      <c r="D6" s="15" t="inlineStr"/>
      <c r="E6" s="15" t="inlineStr"/>
      <c r="F6" s="13" t="n">
        <v>-292.2</v>
      </c>
      <c r="G6" s="16" t="n">
        <v>19702</v>
      </c>
      <c r="H6" s="13" t="n">
        <v>5.74610699421379</v>
      </c>
      <c r="I6">
        <f t="array" ref="I6">IFERROR(INDEX($N$5:$N$271,MATCH(TRUE,EXACT(A6,$O$5:$O$271),)),"")</f>
        <v/>
      </c>
      <c r="J6" s="25">
        <f>IF(I6="","",IF(E6="","",G6))</f>
        <v/>
      </c>
      <c r="K6" s="26" t="n"/>
      <c r="N6" s="24" t="inlineStr">
        <is>
          <t>Starter</t>
        </is>
      </c>
      <c r="O6" s="27" t="inlineStr">
        <is>
          <t>Mayo Squid</t>
        </is>
      </c>
      <c r="R6" s="37" t="n"/>
      <c r="S6" s="38" t="n"/>
      <c r="T6" s="38" t="n"/>
      <c r="U6" s="71" t="n"/>
      <c r="V6" s="40" t="n"/>
      <c r="W6" s="41" t="n"/>
    </row>
    <row r="7" ht="14.75" customHeight="1">
      <c r="A7" s="17" t="inlineStr">
        <is>
          <t>Breakfasts</t>
        </is>
      </c>
      <c r="B7" s="13" t="n">
        <v>44488.5</v>
      </c>
      <c r="C7" s="70" t="n">
        <v>0.285255286120891</v>
      </c>
      <c r="D7" s="70" t="n">
        <v>0.392973929818797</v>
      </c>
      <c r="E7" s="15" t="inlineStr"/>
      <c r="F7" s="13" t="n">
        <v>-108</v>
      </c>
      <c r="G7" s="16" t="n">
        <v>2444</v>
      </c>
      <c r="H7" s="13" t="n">
        <v>18.2031505728314</v>
      </c>
      <c r="I7">
        <f t="array" ref="I7">IFERROR(INDEX($N$5:$N$271,MATCH(TRUE,EXACT(A7,$O$5:$O$271),)),"")</f>
        <v/>
      </c>
      <c r="J7" s="25">
        <f>IF(I7="","",IF(E7="","",G7))</f>
        <v/>
      </c>
      <c r="K7" s="26" t="n"/>
      <c r="N7" s="28" t="inlineStr">
        <is>
          <t>Starter</t>
        </is>
      </c>
      <c r="O7" s="29" t="inlineStr">
        <is>
          <t>Prawn Cocktail</t>
        </is>
      </c>
      <c r="R7" s="42" t="inlineStr">
        <is>
          <t>Rank</t>
        </is>
      </c>
      <c r="S7" s="43" t="inlineStr">
        <is>
          <t>Dessert</t>
        </is>
      </c>
      <c r="T7" s="44" t="inlineStr">
        <is>
          <t>Qty</t>
        </is>
      </c>
      <c r="U7" s="72" t="inlineStr">
        <is>
          <t>Rev</t>
        </is>
      </c>
      <c r="V7" s="46" t="inlineStr">
        <is>
          <t>SM% Qty</t>
        </is>
      </c>
      <c r="W7" s="47" t="inlineStr">
        <is>
          <t>SM% Rev</t>
        </is>
      </c>
    </row>
    <row r="8">
      <c r="A8" s="15" t="inlineStr">
        <is>
          <t>English Brf</t>
        </is>
      </c>
      <c r="B8" s="18" t="n">
        <v>10640</v>
      </c>
      <c r="C8" s="73" t="n">
        <v>0.0682224899541742</v>
      </c>
      <c r="D8" s="73" t="n">
        <v>0.0939847963692189</v>
      </c>
      <c r="E8" s="73" t="n">
        <v>0.239162929745889</v>
      </c>
      <c r="F8" s="18" t="n">
        <v>0</v>
      </c>
      <c r="G8" s="20" t="n">
        <v>280</v>
      </c>
      <c r="H8" s="18" t="n">
        <v>38</v>
      </c>
      <c r="I8">
        <f t="array" ref="I8">IFERROR(INDEX($N$5:$N$271,MATCH(TRUE,EXACT(A8,$O$5:$O$271),)),"")</f>
        <v/>
      </c>
      <c r="J8" s="25">
        <f>IF(I8="","",IF(E8="","",G8))</f>
        <v/>
      </c>
      <c r="K8" s="26" t="n"/>
      <c r="N8" s="28" t="inlineStr">
        <is>
          <t>Starter</t>
        </is>
      </c>
      <c r="O8" s="29" t="inlineStr">
        <is>
          <t>Pea Veloute</t>
        </is>
      </c>
      <c r="R8" s="48" t="n">
        <v>1</v>
      </c>
      <c r="S8" s="49">
        <f t="array" ref="S8">INDEX($A$6:$K$600,SMALL(IF(COUNTIF($S$7,$I$6:$I$600)*COUNTIF(R8,$K$6:$K$600),MATCH(ROW($A$6:$H$600),ROW($A$6:$H$600))),ROWS($A$1:A1)),COLUMNS($A$1:$A$1))</f>
        <v/>
      </c>
      <c r="T8" s="49">
        <f>VLOOKUP(S8,$A$6:$H$600,7,0)</f>
        <v/>
      </c>
      <c r="U8" s="74">
        <f>VLOOKUP(S8,$A$6:$H$600,2,0)</f>
        <v/>
      </c>
      <c r="V8" s="51">
        <f>T8/$T$29</f>
        <v/>
      </c>
      <c r="W8" s="52">
        <f>U8/$U$29</f>
        <v/>
      </c>
    </row>
    <row r="9">
      <c r="A9" s="15" t="inlineStr">
        <is>
          <t>English Brf Inc</t>
        </is>
      </c>
      <c r="B9" s="18" t="n">
        <v>7962</v>
      </c>
      <c r="C9" s="73" t="n">
        <v>0.0510514534788661</v>
      </c>
      <c r="D9" s="73" t="n">
        <v>0.0703296004409512</v>
      </c>
      <c r="E9" s="73" t="n">
        <v>0.178967598368118</v>
      </c>
      <c r="F9" s="18" t="n">
        <v>0</v>
      </c>
      <c r="G9" s="20" t="n">
        <v>213</v>
      </c>
      <c r="H9" s="18" t="n">
        <v>37.3802816901408</v>
      </c>
      <c r="I9">
        <f t="array" ref="I9">IFERROR(INDEX($N$5:$N$271,MATCH(TRUE,EXACT(A9,$O$5:$O$271),)),"")</f>
        <v/>
      </c>
      <c r="J9" s="25">
        <f>IF(I9="","",IF(E9="","",G9))</f>
        <v/>
      </c>
      <c r="K9" s="26" t="n"/>
      <c r="N9" s="28" t="inlineStr">
        <is>
          <t>Starter</t>
        </is>
      </c>
      <c r="O9" s="29" t="inlineStr">
        <is>
          <t>Caviar Oscietra 30</t>
        </is>
      </c>
      <c r="R9" s="53" t="n">
        <v>2</v>
      </c>
      <c r="S9" s="54">
        <f t="array" ref="S9">INDEX($A$6:$K$600,SMALL(IF(COUNTIF($S$7,$I$6:$I$600)*COUNTIF(R9,$K$6:$K$600),MATCH(ROW($A$6:$H$600),ROW($A$6:$H$600))),ROWS($A$1:A1)),COLUMNS($A$1:$A$1))</f>
        <v/>
      </c>
      <c r="T9" s="49">
        <f>VLOOKUP(S9,$A$6:$H$600,7,0)</f>
        <v/>
      </c>
      <c r="U9" s="74">
        <f>VLOOKUP(S9,$A$6:$H$600,2,0)</f>
        <v/>
      </c>
      <c r="V9" s="51">
        <f>T9/$T$29</f>
        <v/>
      </c>
      <c r="W9" s="52">
        <f>U9/$U$29</f>
        <v/>
      </c>
    </row>
    <row r="10">
      <c r="A10" s="15" t="inlineStr">
        <is>
          <t>Organic Eggs</t>
        </is>
      </c>
      <c r="B10" s="18" t="n">
        <v>2772</v>
      </c>
      <c r="C10" s="73" t="n">
        <v>0.0177737539617454</v>
      </c>
      <c r="D10" s="73" t="n">
        <v>0.0244855127382965</v>
      </c>
      <c r="E10" s="73" t="n">
        <v>0.0623082369601133</v>
      </c>
      <c r="F10" s="18" t="n">
        <v>0</v>
      </c>
      <c r="G10" s="20" t="n">
        <v>231</v>
      </c>
      <c r="H10" s="18" t="n">
        <v>12</v>
      </c>
      <c r="I10">
        <f t="array" ref="I10">IFERROR(INDEX($N$5:$N$271,MATCH(TRUE,EXACT(A10,$O$5:$O$271),)),"")</f>
        <v/>
      </c>
      <c r="J10" s="25">
        <f>IF(I10="","",IF(E10="","",G10))</f>
        <v/>
      </c>
      <c r="K10" s="26" t="n"/>
      <c r="N10" s="28" t="inlineStr">
        <is>
          <t>Starter</t>
        </is>
      </c>
      <c r="O10" s="29" t="inlineStr">
        <is>
          <t>Rock Oyster 6</t>
        </is>
      </c>
      <c r="R10" s="53" t="n">
        <v>3</v>
      </c>
      <c r="S10" s="55">
        <f t="array" ref="S10">INDEX($A$6:$K$600,SMALL(IF(COUNTIF($S$7,$I$6:$I$600)*COUNTIF(R10,$K$6:$K$600),MATCH(ROW($A$6:$H$600),ROW($A$6:$H$600))),ROWS($A$1:A1)),COLUMNS($A$1:$A$1))</f>
        <v/>
      </c>
      <c r="T10" s="49">
        <f>VLOOKUP(S10,$A$6:$H$600,7,0)</f>
        <v/>
      </c>
      <c r="U10" s="74">
        <f>VLOOKUP(S10,$A$6:$H$600,2,0)</f>
        <v/>
      </c>
      <c r="V10" s="51">
        <f>T10/$T$29</f>
        <v/>
      </c>
      <c r="W10" s="52">
        <f>U10/$U$29</f>
        <v/>
      </c>
    </row>
    <row r="11">
      <c r="A11" s="15" t="inlineStr">
        <is>
          <t>Toast</t>
        </is>
      </c>
      <c r="B11" s="18" t="n">
        <v>1632</v>
      </c>
      <c r="C11" s="73" t="n">
        <v>0.0104642014666553</v>
      </c>
      <c r="D11" s="73" t="n">
        <v>0.0144157131273088</v>
      </c>
      <c r="E11" s="73" t="n">
        <v>0.0366836373444823</v>
      </c>
      <c r="F11" s="18" t="n">
        <v>0</v>
      </c>
      <c r="G11" s="20" t="n">
        <v>272</v>
      </c>
      <c r="H11" s="18" t="n">
        <v>6</v>
      </c>
      <c r="I11">
        <f t="array" ref="I11">IFERROR(INDEX($N$5:$N$271,MATCH(TRUE,EXACT(A11,$O$5:$O$271),)),"")</f>
        <v/>
      </c>
      <c r="J11" s="25">
        <f>IF(I11="","",IF(E11="","",G11))</f>
        <v/>
      </c>
      <c r="K11" s="26" t="n"/>
      <c r="N11" s="28" t="inlineStr">
        <is>
          <t>Starter</t>
        </is>
      </c>
      <c r="O11" s="29" t="inlineStr">
        <is>
          <t>Royal Salmon</t>
        </is>
      </c>
      <c r="R11" s="53" t="n">
        <v>4</v>
      </c>
      <c r="S11" s="55">
        <f t="array" ref="S11">INDEX($A$6:$K$600,SMALL(IF(COUNTIF($S$7,$I$6:$I$600)*COUNTIF(R11,$K$6:$K$600),MATCH(ROW($A$6:$H$600),ROW($A$6:$H$600))),ROWS($A$1:A1)),COLUMNS($A$1:$A$1))</f>
        <v/>
      </c>
      <c r="T11" s="49">
        <f>VLOOKUP(S11,$A$6:$H$600,7,0)</f>
        <v/>
      </c>
      <c r="U11" s="74">
        <f>VLOOKUP(S11,$A$6:$H$600,2,0)</f>
        <v/>
      </c>
      <c r="V11" s="51">
        <f>T11/$T$29</f>
        <v/>
      </c>
      <c r="W11" s="52">
        <f>U11/$U$29</f>
        <v/>
      </c>
    </row>
    <row r="12">
      <c r="A12" s="15" t="inlineStr">
        <is>
          <t>Seasonal Berries</t>
        </is>
      </c>
      <c r="B12" s="18" t="n">
        <v>1512</v>
      </c>
      <c r="C12" s="73" t="n">
        <v>0.009694774888224761</v>
      </c>
      <c r="D12" s="73" t="n">
        <v>0.013355734220889</v>
      </c>
      <c r="E12" s="73" t="n">
        <v>0.0339863110691527</v>
      </c>
      <c r="F12" s="18" t="n">
        <v>0</v>
      </c>
      <c r="G12" s="20" t="n">
        <v>84</v>
      </c>
      <c r="H12" s="18" t="n">
        <v>18</v>
      </c>
      <c r="I12">
        <f t="array" ref="I12">IFERROR(INDEX($N$5:$N$271,MATCH(TRUE,EXACT(A12,$O$5:$O$271),)),"")</f>
        <v/>
      </c>
      <c r="J12" s="25">
        <f>IF(I12="","",IF(E12="","",G12))</f>
        <v/>
      </c>
      <c r="K12" s="26" t="n"/>
      <c r="N12" s="28" t="inlineStr">
        <is>
          <t>Starter</t>
        </is>
      </c>
      <c r="O12" s="29" t="inlineStr">
        <is>
          <t>Baby Artichokes</t>
        </is>
      </c>
      <c r="R12" s="53" t="n">
        <v>5</v>
      </c>
      <c r="S12" s="55">
        <f t="array" ref="S12">INDEX($A$6:$K$600,SMALL(IF(COUNTIF($S$7,$I$6:$I$600)*COUNTIF(R12,$K$6:$K$600),MATCH(ROW($A$6:$H$600),ROW($A$6:$H$600))),ROWS($A$1:A1)),COLUMNS($A$1:$A$1))</f>
        <v/>
      </c>
      <c r="T12" s="49">
        <f>VLOOKUP(S12,$A$6:$H$600,7,0)</f>
        <v/>
      </c>
      <c r="U12" s="74">
        <f>VLOOKUP(S12,$A$6:$H$600,2,0)</f>
        <v/>
      </c>
      <c r="V12" s="51">
        <f>T12/$T$29</f>
        <v/>
      </c>
      <c r="W12" s="52">
        <f>U12/$U$29</f>
        <v/>
      </c>
    </row>
    <row r="13">
      <c r="A13" s="15" t="inlineStr">
        <is>
          <t>Sliced Fruit Plate</t>
        </is>
      </c>
      <c r="B13" s="18" t="n">
        <v>1482</v>
      </c>
      <c r="C13" s="73" t="n">
        <v>0.00950241824361713</v>
      </c>
      <c r="D13" s="73" t="n">
        <v>0.0130907394942841</v>
      </c>
      <c r="E13" s="73" t="n">
        <v>0.0333119795003203</v>
      </c>
      <c r="F13" s="18" t="n">
        <v>0</v>
      </c>
      <c r="G13" s="20" t="n">
        <v>114</v>
      </c>
      <c r="H13" s="18" t="n">
        <v>13</v>
      </c>
      <c r="I13">
        <f t="array" ref="I13">IFERROR(INDEX($N$5:$N$271,MATCH(TRUE,EXACT(A13,$O$5:$O$271),)),"")</f>
        <v/>
      </c>
      <c r="J13" s="25">
        <f>IF(I13="","",IF(E13="","",G13))</f>
        <v/>
      </c>
      <c r="K13" s="26" t="n"/>
      <c r="N13" s="28" t="inlineStr">
        <is>
          <t>Starter</t>
        </is>
      </c>
      <c r="O13" s="29" t="inlineStr">
        <is>
          <t>Caviar Aquitaine 30</t>
        </is>
      </c>
      <c r="R13" s="53" t="n">
        <v>6</v>
      </c>
      <c r="S13" s="55">
        <f t="array" ref="S13">INDEX($A$6:$K$600,SMALL(IF(COUNTIF($S$7,$I$6:$I$600)*COUNTIF(R13,$K$6:$K$600),MATCH(ROW($A$6:$H$600),ROW($A$6:$H$600))),ROWS($A$1:A1)),COLUMNS($A$1:$A$1))</f>
        <v/>
      </c>
      <c r="T13" s="49">
        <f>VLOOKUP(S13,$A$6:$H$600,7,0)</f>
        <v/>
      </c>
      <c r="U13" s="74">
        <f>VLOOKUP(S13,$A$6:$H$600,2,0)</f>
        <v/>
      </c>
      <c r="V13" s="51">
        <f>T13/$T$29</f>
        <v/>
      </c>
      <c r="W13" s="52">
        <f>U13/$U$29</f>
        <v/>
      </c>
    </row>
    <row r="14">
      <c r="A14" s="15" t="inlineStr">
        <is>
          <t>Omelette</t>
        </is>
      </c>
      <c r="B14" s="18" t="n">
        <v>1278</v>
      </c>
      <c r="C14" s="73" t="n">
        <v>0.00819439306028521</v>
      </c>
      <c r="D14" s="73" t="n">
        <v>0.0112887753533705</v>
      </c>
      <c r="E14" s="73" t="n">
        <v>0.02872652483226</v>
      </c>
      <c r="F14" s="18" t="n">
        <v>0</v>
      </c>
      <c r="G14" s="20" t="n">
        <v>71</v>
      </c>
      <c r="H14" s="18" t="n">
        <v>18</v>
      </c>
      <c r="I14">
        <f t="array" ref="I14">IFERROR(INDEX($N$5:$N$271,MATCH(TRUE,EXACT(A14,$O$5:$O$271),)),"")</f>
        <v/>
      </c>
      <c r="J14" s="25">
        <f>IF(I14="","",IF(E14="","",G14))</f>
        <v/>
      </c>
      <c r="K14" s="26" t="n"/>
      <c r="N14" s="28" t="inlineStr">
        <is>
          <t>Starter</t>
        </is>
      </c>
      <c r="O14" s="29" t="inlineStr">
        <is>
          <t>Rock Oyster 12</t>
        </is>
      </c>
      <c r="R14" s="53" t="n">
        <v>7</v>
      </c>
      <c r="S14" s="55">
        <f t="array" ref="S14">INDEX($A$6:$K$600,SMALL(IF(COUNTIF($S$7,$I$6:$I$600)*COUNTIF(R14,$K$6:$K$600),MATCH(ROW($A$6:$H$600),ROW($A$6:$H$600))),ROWS($A$1:A1)),COLUMNS($A$1:$A$1))</f>
        <v/>
      </c>
      <c r="T14" s="49">
        <f>VLOOKUP(S14,$A$6:$H$600,7,0)</f>
        <v/>
      </c>
      <c r="U14" s="74">
        <f>VLOOKUP(S14,$A$6:$H$600,2,0)</f>
        <v/>
      </c>
      <c r="V14" s="51">
        <f>T14/$T$29</f>
        <v/>
      </c>
      <c r="W14" s="52">
        <f>U14/$U$29</f>
        <v/>
      </c>
    </row>
    <row r="15">
      <c r="A15" s="15" t="inlineStr">
        <is>
          <t>Avocado Sourdough</t>
        </is>
      </c>
      <c r="B15" s="18" t="n">
        <v>1248</v>
      </c>
      <c r="C15" s="73" t="n">
        <v>0.00800203641567758</v>
      </c>
      <c r="D15" s="73" t="n">
        <v>0.0110237806267655</v>
      </c>
      <c r="E15" s="73" t="n">
        <v>0.0280521932634276</v>
      </c>
      <c r="F15" s="18" t="n">
        <v>0</v>
      </c>
      <c r="G15" s="20" t="n">
        <v>85</v>
      </c>
      <c r="H15" s="18" t="n">
        <v>14.6823529411765</v>
      </c>
      <c r="I15">
        <f t="array" ref="I15">IFERROR(INDEX($N$5:$N$271,MATCH(TRUE,EXACT(A15,$O$5:$O$271),)),"")</f>
        <v/>
      </c>
      <c r="J15" s="25">
        <f>IF(I15="","",IF(E15="","",G15))</f>
        <v/>
      </c>
      <c r="K15" s="26" t="n"/>
      <c r="N15" s="28" t="inlineStr">
        <is>
          <t>Starter</t>
        </is>
      </c>
      <c r="O15" s="29" t="inlineStr">
        <is>
          <t>.</t>
        </is>
      </c>
      <c r="R15" s="53" t="n">
        <v>8</v>
      </c>
      <c r="S15" s="55">
        <f t="array" ref="S15">INDEX($A$6:$K$600,SMALL(IF(COUNTIF($S$7,$I$6:$I$600)*COUNTIF(R15,$K$6:$K$600),MATCH(ROW($A$6:$H$600),ROW($A$6:$H$600))),ROWS($A$1:A1)),COLUMNS($A$1:$A$1))</f>
        <v/>
      </c>
      <c r="T15" s="49">
        <f>VLOOKUP(S15,$A$6:$H$600,7,0)</f>
        <v/>
      </c>
      <c r="U15" s="74">
        <f>VLOOKUP(S15,$A$6:$H$600,2,0)</f>
        <v/>
      </c>
      <c r="V15" s="51">
        <f>T15/$T$29</f>
        <v/>
      </c>
      <c r="W15" s="52">
        <f>U15/$U$29</f>
        <v/>
      </c>
    </row>
    <row r="16">
      <c r="A16" s="15" t="inlineStr">
        <is>
          <t>Continental Brf</t>
        </is>
      </c>
      <c r="B16" s="18" t="n">
        <v>1216</v>
      </c>
      <c r="C16" s="73" t="n">
        <v>0.00779685599476277</v>
      </c>
      <c r="D16" s="73" t="n">
        <v>0.0107411195850536</v>
      </c>
      <c r="E16" s="73" t="n">
        <v>0.0273329062566731</v>
      </c>
      <c r="F16" s="18" t="n">
        <v>0</v>
      </c>
      <c r="G16" s="20" t="n">
        <v>38</v>
      </c>
      <c r="H16" s="18" t="n">
        <v>32</v>
      </c>
      <c r="I16">
        <f t="array" ref="I16">IFERROR(INDEX($N$5:$N$271,MATCH(TRUE,EXACT(A16,$O$5:$O$271),)),"")</f>
        <v/>
      </c>
      <c r="J16" s="25">
        <f>IF(I16="","",IF(E16="","",G16))</f>
        <v/>
      </c>
      <c r="K16" s="26" t="n"/>
      <c r="N16" s="28" t="inlineStr">
        <is>
          <t>Starter</t>
        </is>
      </c>
      <c r="O16" s="29" t="inlineStr">
        <is>
          <t>.</t>
        </is>
      </c>
      <c r="R16" s="53" t="n">
        <v>9</v>
      </c>
      <c r="S16" s="55">
        <f t="array" ref="S16">INDEX($A$6:$K$600,SMALL(IF(COUNTIF($S$7,$I$6:$I$600)*COUNTIF(R16,$K$6:$K$600),MATCH(ROW($A$6:$H$600),ROW($A$6:$H$600))),ROWS($A$1:A1)),COLUMNS($A$1:$A$1))</f>
        <v/>
      </c>
      <c r="T16" s="49">
        <f>VLOOKUP(S16,$A$6:$H$600,7,0)</f>
        <v/>
      </c>
      <c r="U16" s="74">
        <f>VLOOKUP(S16,$A$6:$H$600,2,0)</f>
        <v/>
      </c>
      <c r="V16" s="51">
        <f>T16/$T$29</f>
        <v/>
      </c>
      <c r="W16" s="52">
        <f>U16/$U$29</f>
        <v/>
      </c>
    </row>
    <row r="17">
      <c r="A17" s="15" t="inlineStr">
        <is>
          <t>BreakfastB Junket</t>
        </is>
      </c>
      <c r="B17" s="18" t="n">
        <v>1206</v>
      </c>
      <c r="C17" s="73" t="n">
        <v>0.00773273711322689</v>
      </c>
      <c r="D17" s="73" t="n">
        <v>0.0106527880095186</v>
      </c>
      <c r="E17" s="73" t="n">
        <v>0.0271081290670623</v>
      </c>
      <c r="F17" s="18" t="n">
        <v>0</v>
      </c>
      <c r="G17" s="20" t="n">
        <v>67</v>
      </c>
      <c r="H17" s="18" t="n">
        <v>18</v>
      </c>
      <c r="I17">
        <f t="array" ref="I17">IFERROR(INDEX($N$5:$N$271,MATCH(TRUE,EXACT(A17,$O$5:$O$271),)),"")</f>
        <v/>
      </c>
      <c r="J17" s="25">
        <f>IF(I17="","",IF(E17="","",G17))</f>
        <v/>
      </c>
      <c r="K17" s="26" t="n"/>
      <c r="N17" s="28" t="inlineStr">
        <is>
          <t>Starter</t>
        </is>
      </c>
      <c r="O17" s="29" t="inlineStr">
        <is>
          <t>.</t>
        </is>
      </c>
      <c r="R17" s="53" t="n">
        <v>10</v>
      </c>
      <c r="S17" s="55">
        <f t="array" ref="S17">INDEX($A$6:$K$600,SMALL(IF(COUNTIF($S$7,$I$6:$I$600)*COUNTIF(R17,$K$6:$K$600),MATCH(ROW($A$6:$H$600),ROW($A$6:$H$600))),ROWS($A$1:A1)),COLUMNS($A$1:$A$1))</f>
        <v/>
      </c>
      <c r="T17" s="49">
        <f>VLOOKUP(S17,$A$6:$H$600,7,0)</f>
        <v/>
      </c>
      <c r="U17" s="74">
        <f>VLOOKUP(S17,$A$6:$H$600,2,0)</f>
        <v/>
      </c>
      <c r="V17" s="51">
        <f>T17/$T$29</f>
        <v/>
      </c>
      <c r="W17" s="52">
        <f>U17/$U$29</f>
        <v/>
      </c>
    </row>
    <row r="18">
      <c r="A18" s="15" t="inlineStr">
        <is>
          <t>Pancakes</t>
        </is>
      </c>
      <c r="B18" s="18" t="n">
        <v>1092</v>
      </c>
      <c r="C18" s="73" t="n">
        <v>0.00700178186371788</v>
      </c>
      <c r="D18" s="73" t="n">
        <v>0.00964580804841984</v>
      </c>
      <c r="E18" s="73" t="n">
        <v>0.0245456691054992</v>
      </c>
      <c r="F18" s="18" t="n">
        <v>0</v>
      </c>
      <c r="G18" s="20" t="n">
        <v>78</v>
      </c>
      <c r="H18" s="18" t="n">
        <v>14</v>
      </c>
      <c r="I18">
        <f t="array" ref="I18">IFERROR(INDEX($N$5:$N$271,MATCH(TRUE,EXACT(A18,$O$5:$O$271),)),"")</f>
        <v/>
      </c>
      <c r="J18" s="25">
        <f>IF(I18="","",IF(E18="","",G18))</f>
        <v/>
      </c>
      <c r="K18" s="26" t="n"/>
      <c r="N18" s="28" t="inlineStr">
        <is>
          <t>Starter</t>
        </is>
      </c>
      <c r="O18" s="29" t="inlineStr">
        <is>
          <t>.</t>
        </is>
      </c>
      <c r="R18" s="53" t="n">
        <v>11</v>
      </c>
      <c r="S18" s="55">
        <f t="array" ref="S18">INDEX($A$6:$K$600,SMALL(IF(COUNTIF($S$7,$I$6:$I$600)*COUNTIF(R18,$K$6:$K$600),MATCH(ROW($A$6:$H$600),ROW($A$6:$H$600))),ROWS($A$1:A1)),COLUMNS($A$1:$A$1))</f>
        <v/>
      </c>
      <c r="T18" s="49">
        <f>VLOOKUP(S18,$A$6:$H$600,7,0)</f>
        <v/>
      </c>
      <c r="U18" s="74">
        <f>VLOOKUP(S18,$A$6:$H$600,2,0)</f>
        <v/>
      </c>
      <c r="V18" s="51">
        <f>T18/$T$29</f>
        <v/>
      </c>
      <c r="W18" s="52">
        <f>U18/$U$29</f>
        <v/>
      </c>
    </row>
    <row r="19">
      <c r="A19" s="15" t="inlineStr">
        <is>
          <t>Eggs Benedict</t>
        </is>
      </c>
      <c r="B19" s="18" t="n">
        <v>1064</v>
      </c>
      <c r="C19" s="73" t="n">
        <v>0.00682224899541742</v>
      </c>
      <c r="D19" s="73" t="n">
        <v>0.00939847963692189</v>
      </c>
      <c r="E19" s="73" t="n">
        <v>0.0239162929745889</v>
      </c>
      <c r="F19" s="18" t="n">
        <v>0</v>
      </c>
      <c r="G19" s="20" t="n">
        <v>56</v>
      </c>
      <c r="H19" s="18" t="n">
        <v>19</v>
      </c>
      <c r="I19">
        <f t="array" ref="I19">IFERROR(INDEX($N$5:$N$271,MATCH(TRUE,EXACT(A19,$O$5:$O$271),)),"")</f>
        <v/>
      </c>
      <c r="J19" s="25">
        <f>IF(I19="","",IF(E19="","",G19))</f>
        <v/>
      </c>
      <c r="K19" s="26" t="n"/>
      <c r="N19" s="28" t="inlineStr">
        <is>
          <t>Starter</t>
        </is>
      </c>
      <c r="O19" s="29" t="inlineStr">
        <is>
          <t>.</t>
        </is>
      </c>
      <c r="R19" s="53" t="n">
        <v>12</v>
      </c>
      <c r="S19" s="55">
        <f t="array" ref="S19">INDEX($A$6:$K$600,SMALL(IF(COUNTIF($S$7,$I$6:$I$600)*COUNTIF(R19,$K$6:$K$600),MATCH(ROW($A$6:$H$600),ROW($A$6:$H$600))),ROWS($A$1:A1)),COLUMNS($A$1:$A$1))</f>
        <v/>
      </c>
      <c r="T19" s="49">
        <f>VLOOKUP(S19,$A$6:$H$600,7,0)</f>
        <v/>
      </c>
      <c r="U19" s="74">
        <f>VLOOKUP(S19,$A$6:$H$600,2,0)</f>
        <v/>
      </c>
      <c r="V19" s="51">
        <f>T19/$T$29</f>
        <v/>
      </c>
      <c r="W19" s="52">
        <f>U19/$U$29</f>
        <v/>
      </c>
    </row>
    <row r="20">
      <c r="A20" s="15" t="inlineStr">
        <is>
          <t>Smoked Salmon Scrambled Eggs Bri</t>
        </is>
      </c>
      <c r="B20" s="18" t="n">
        <v>966</v>
      </c>
      <c r="C20" s="73" t="n">
        <v>0.00619388395636582</v>
      </c>
      <c r="D20" s="73" t="n">
        <v>0.00853283019667909</v>
      </c>
      <c r="E20" s="73" t="n">
        <v>0.0217134765164031</v>
      </c>
      <c r="F20" s="18" t="n">
        <v>0</v>
      </c>
      <c r="G20" s="20" t="n">
        <v>46</v>
      </c>
      <c r="H20" s="18" t="n">
        <v>21</v>
      </c>
      <c r="I20">
        <f t="array" ref="I20">IFERROR(INDEX($N$5:$N$271,MATCH(TRUE,EXACT(A20,$O$5:$O$271),)),"")</f>
        <v/>
      </c>
      <c r="J20" s="25">
        <f>IF(I20="","",IF(E20="","",G20))</f>
        <v/>
      </c>
      <c r="K20" s="26" t="n"/>
      <c r="N20" s="28" t="inlineStr">
        <is>
          <t>Starter</t>
        </is>
      </c>
      <c r="O20" s="29" t="inlineStr">
        <is>
          <t>.</t>
        </is>
      </c>
      <c r="R20" s="53" t="n">
        <v>13</v>
      </c>
      <c r="S20" s="55">
        <f t="array" ref="S20">INDEX($A$6:$K$600,SMALL(IF(COUNTIF($S$7,$I$6:$I$600)*COUNTIF(R20,$K$6:$K$600),MATCH(ROW($A$6:$H$600),ROW($A$6:$H$600))),ROWS($A$1:A1)),COLUMNS($A$1:$A$1))</f>
        <v/>
      </c>
      <c r="T20" s="49">
        <f>VLOOKUP(S20,$A$6:$H$600,7,0)</f>
        <v/>
      </c>
      <c r="U20" s="74">
        <f>VLOOKUP(S20,$A$6:$H$600,2,0)</f>
        <v/>
      </c>
      <c r="V20" s="51">
        <f>T20/$T$29</f>
        <v/>
      </c>
      <c r="W20" s="52">
        <f>U20/$U$29</f>
        <v/>
      </c>
    </row>
    <row r="21">
      <c r="A21" s="15" t="inlineStr">
        <is>
          <t>Mixed Pastry</t>
        </is>
      </c>
      <c r="B21" s="18" t="n">
        <v>850</v>
      </c>
      <c r="C21" s="73" t="n">
        <v>0.00545010493054963</v>
      </c>
      <c r="D21" s="73" t="n">
        <v>0.00750818392047332</v>
      </c>
      <c r="E21" s="73" t="n">
        <v>0.0191060611169179</v>
      </c>
      <c r="F21" s="18" t="n">
        <v>-51</v>
      </c>
      <c r="G21" s="20" t="n">
        <v>106</v>
      </c>
      <c r="H21" s="18" t="n">
        <v>8.018867924528299</v>
      </c>
      <c r="I21">
        <f t="array" ref="I21">IFERROR(INDEX($N$5:$N$271,MATCH(TRUE,EXACT(A21,$O$5:$O$271),)),"")</f>
        <v/>
      </c>
      <c r="J21" s="25">
        <f>IF(I21="","",IF(E21="","",G21))</f>
        <v/>
      </c>
      <c r="K21" s="26" t="n"/>
      <c r="N21" s="28" t="inlineStr">
        <is>
          <t>Starter</t>
        </is>
      </c>
      <c r="O21" s="29" t="inlineStr">
        <is>
          <t>.</t>
        </is>
      </c>
      <c r="R21" s="53" t="n">
        <v>14</v>
      </c>
      <c r="S21" s="55">
        <f t="array" ref="S21">INDEX($A$6:$K$600,SMALL(IF(COUNTIF($S$7,$I$6:$I$600)*COUNTIF(R21,$K$6:$K$600),MATCH(ROW($A$6:$H$600),ROW($A$6:$H$600))),ROWS($A$1:A1)),COLUMNS($A$1:$A$1))</f>
        <v/>
      </c>
      <c r="T21" s="49">
        <f>VLOOKUP(S21,$A$6:$H$600,7,0)</f>
        <v/>
      </c>
      <c r="U21" s="74">
        <f>VLOOKUP(S21,$A$6:$H$600,2,0)</f>
        <v/>
      </c>
      <c r="V21" s="51">
        <f>T21/$T$29</f>
        <v/>
      </c>
      <c r="W21" s="52">
        <f>U21/$U$29</f>
        <v/>
      </c>
    </row>
    <row r="22">
      <c r="A22" s="15" t="inlineStr">
        <is>
          <t>Chinese Brkfst</t>
        </is>
      </c>
      <c r="B22" s="18" t="n">
        <v>792</v>
      </c>
      <c r="C22" s="73" t="n">
        <v>0.00507821541764154</v>
      </c>
      <c r="D22" s="73" t="n">
        <v>0.00699586078237043</v>
      </c>
      <c r="E22" s="73" t="n">
        <v>0.0178023534171752</v>
      </c>
      <c r="F22" s="18" t="n">
        <v>0</v>
      </c>
      <c r="G22" s="20" t="n">
        <v>22</v>
      </c>
      <c r="H22" s="18" t="n">
        <v>36</v>
      </c>
      <c r="I22">
        <f t="array" ref="I22">IFERROR(INDEX($N$5:$N$271,MATCH(TRUE,EXACT(A22,$O$5:$O$271),)),"")</f>
        <v/>
      </c>
      <c r="J22" s="25">
        <f>IF(I22="","",IF(E22="","",G22))</f>
        <v/>
      </c>
      <c r="K22" s="26" t="n"/>
      <c r="N22" s="28" t="inlineStr">
        <is>
          <t>Starter</t>
        </is>
      </c>
      <c r="O22" s="29" t="inlineStr">
        <is>
          <t>.</t>
        </is>
      </c>
      <c r="R22" s="53" t="n">
        <v>15</v>
      </c>
      <c r="S22" s="55">
        <f t="array" ref="S22">INDEX($A$6:$K$600,SMALL(IF(COUNTIF($S$7,$I$6:$I$600)*COUNTIF(R22,$K$6:$K$600),MATCH(ROW($A$6:$H$600),ROW($A$6:$H$600))),ROWS($A$1:A1)),COLUMNS($A$1:$A$1))</f>
        <v/>
      </c>
      <c r="T22" s="49">
        <f>VLOOKUP(S22,$A$6:$H$600,7,0)</f>
        <v/>
      </c>
      <c r="U22" s="74">
        <f>VLOOKUP(S22,$A$6:$H$600,2,0)</f>
        <v/>
      </c>
      <c r="V22" s="51">
        <f>T22/$T$29</f>
        <v/>
      </c>
      <c r="W22" s="52">
        <f>U22/$U$29</f>
        <v/>
      </c>
    </row>
    <row r="23" ht="14.75" customHeight="1">
      <c r="A23" s="15" t="inlineStr">
        <is>
          <t>Cont Brf Inc</t>
        </is>
      </c>
      <c r="B23" s="18" t="n">
        <v>726</v>
      </c>
      <c r="C23" s="73" t="n">
        <v>0.00465503079950475</v>
      </c>
      <c r="D23" s="73" t="n">
        <v>0.00641287238383956</v>
      </c>
      <c r="E23" s="73" t="n">
        <v>0.016318823965744</v>
      </c>
      <c r="F23" s="18" t="n">
        <v>0</v>
      </c>
      <c r="G23" s="20" t="n">
        <v>23</v>
      </c>
      <c r="H23" s="18" t="n">
        <v>31.5652173913043</v>
      </c>
      <c r="I23">
        <f t="array" ref="I23">IFERROR(INDEX($N$5:$N$271,MATCH(TRUE,EXACT(A23,$O$5:$O$271),)),"")</f>
        <v/>
      </c>
      <c r="J23" s="25">
        <f>IF(I23="","",IF(E23="","",G23))</f>
        <v/>
      </c>
      <c r="K23" s="26" t="n"/>
      <c r="N23" s="28" t="inlineStr">
        <is>
          <t>Starter</t>
        </is>
      </c>
      <c r="O23" s="29" t="inlineStr">
        <is>
          <t>.</t>
        </is>
      </c>
      <c r="R23" s="53" t="n">
        <v>16</v>
      </c>
      <c r="S23" s="55">
        <f t="array" ref="S23">INDEX($A$6:$K$600,SMALL(IF(COUNTIF($S$7,$I$6:$I$600)*COUNTIF(R23,$K$6:$K$600),MATCH(ROW($A$6:$H$600),ROW($A$6:$H$600))),ROWS($A$1:A1)),COLUMNS($A$1:$A$1))</f>
        <v/>
      </c>
      <c r="T23" s="49">
        <f>VLOOKUP(S23,$A$6:$H$600,7,0)</f>
        <v/>
      </c>
      <c r="U23" s="74">
        <f>VLOOKUP(S23,$A$6:$H$600,2,0)</f>
        <v/>
      </c>
      <c r="V23" s="51">
        <f>T23/$T$29</f>
        <v/>
      </c>
      <c r="W23" s="52">
        <f>U23/$U$29</f>
        <v/>
      </c>
    </row>
    <row r="24" ht="14.75" customHeight="1">
      <c r="A24" s="15" t="inlineStr">
        <is>
          <t>French Toast</t>
        </is>
      </c>
      <c r="B24" s="18" t="n">
        <v>690</v>
      </c>
      <c r="C24" s="73" t="n">
        <v>0.00442420282597559</v>
      </c>
      <c r="D24" s="73" t="n">
        <v>0.00609487871191363</v>
      </c>
      <c r="E24" s="73" t="n">
        <v>0.0155096260831451</v>
      </c>
      <c r="F24" s="18" t="n">
        <v>-15</v>
      </c>
      <c r="G24" s="20" t="n">
        <v>47</v>
      </c>
      <c r="H24" s="18" t="n">
        <v>14.6808510638298</v>
      </c>
      <c r="I24">
        <f t="array" ref="I24">IFERROR(INDEX($N$5:$N$271,MATCH(TRUE,EXACT(A24,$O$5:$O$271),)),"")</f>
        <v/>
      </c>
      <c r="J24" s="25">
        <f>IF(I24="","",IF(E24="","",G24))</f>
        <v/>
      </c>
      <c r="K24" s="26" t="n"/>
      <c r="N24" s="30" t="inlineStr">
        <is>
          <t>Main</t>
        </is>
      </c>
      <c r="O24" s="29" t="inlineStr">
        <is>
          <t>Chicken Thai Curry</t>
        </is>
      </c>
      <c r="R24" s="53" t="n">
        <v>17</v>
      </c>
      <c r="S24" s="55">
        <f t="array" ref="S24">INDEX($A$6:$K$600,SMALL(IF(COUNTIF($S$7,$I$6:$I$600)*COUNTIF(R24,$K$6:$K$600),MATCH(ROW($A$6:$H$600),ROW($A$6:$H$600))),ROWS($A$1:A1)),COLUMNS($A$1:$A$1))</f>
        <v/>
      </c>
      <c r="T24" s="49">
        <f>VLOOKUP(S24,$A$6:$H$600,7,0)</f>
        <v/>
      </c>
      <c r="U24" s="74">
        <f>VLOOKUP(S24,$A$6:$H$600,2,0)</f>
        <v/>
      </c>
      <c r="V24" s="51">
        <f>T24/$T$29</f>
        <v/>
      </c>
      <c r="W24" s="52">
        <f>U24/$U$29</f>
        <v/>
      </c>
    </row>
    <row r="25">
      <c r="A25" s="15" t="inlineStr">
        <is>
          <t>Cereals</t>
        </is>
      </c>
      <c r="B25" s="18" t="n">
        <v>632</v>
      </c>
      <c r="C25" s="73" t="n">
        <v>0.00405231331306749</v>
      </c>
      <c r="D25" s="73" t="n">
        <v>0.00558255557381075</v>
      </c>
      <c r="E25" s="73" t="n">
        <v>0.0142059183834025</v>
      </c>
      <c r="F25" s="18" t="n">
        <v>0</v>
      </c>
      <c r="G25" s="20" t="n">
        <v>79</v>
      </c>
      <c r="H25" s="18" t="n">
        <v>8</v>
      </c>
      <c r="I25">
        <f t="array" ref="I25">IFERROR(INDEX($N$5:$N$271,MATCH(TRUE,EXACT(A25,$O$5:$O$271),)),"")</f>
        <v/>
      </c>
      <c r="J25" s="25">
        <f>IF(I25="","",IF(E25="","",G25))</f>
        <v/>
      </c>
      <c r="K25" s="26" t="n"/>
      <c r="N25" s="28" t="inlineStr">
        <is>
          <t>Main</t>
        </is>
      </c>
      <c r="O25" s="29" t="inlineStr">
        <is>
          <t>Roasted Seabass</t>
        </is>
      </c>
      <c r="R25" s="53" t="n">
        <v>18</v>
      </c>
      <c r="S25" s="55">
        <f t="array" ref="S25">INDEX($A$6:$K$600,SMALL(IF(COUNTIF($S$7,$I$6:$I$600)*COUNTIF(R25,$K$6:$K$600),MATCH(ROW($A$6:$H$600),ROW($A$6:$H$600))),ROWS($A$1:A1)),COLUMNS($A$1:$A$1))</f>
        <v/>
      </c>
      <c r="T25" s="49">
        <f>VLOOKUP(S25,$A$6:$H$600,7,0)</f>
        <v/>
      </c>
      <c r="U25" s="74">
        <f>VLOOKUP(S25,$A$6:$H$600,2,0)</f>
        <v/>
      </c>
      <c r="V25" s="51">
        <f>T25/$T$29</f>
        <v/>
      </c>
      <c r="W25" s="52">
        <f>U25/$U$29</f>
        <v/>
      </c>
    </row>
    <row r="26">
      <c r="A26" s="15" t="inlineStr">
        <is>
          <t>Eggs Royale</t>
        </is>
      </c>
      <c r="B26" s="18" t="n">
        <v>569</v>
      </c>
      <c r="C26" s="73" t="n">
        <v>0.00364836435939146</v>
      </c>
      <c r="D26" s="73" t="n">
        <v>0.00502606664794037</v>
      </c>
      <c r="E26" s="73" t="n">
        <v>0.0127898220888544</v>
      </c>
      <c r="F26" s="18" t="n">
        <v>-23</v>
      </c>
      <c r="G26" s="20" t="n">
        <v>26</v>
      </c>
      <c r="H26" s="18" t="n">
        <v>21.8846153846154</v>
      </c>
      <c r="I26">
        <f t="array" ref="I26">IFERROR(INDEX($N$5:$N$271,MATCH(TRUE,EXACT(A26,$O$5:$O$271),)),"")</f>
        <v/>
      </c>
      <c r="J26" s="25">
        <f>IF(I26="","",IF(E26="","",G26))</f>
        <v/>
      </c>
      <c r="K26" s="26" t="n"/>
      <c r="N26" s="28" t="inlineStr">
        <is>
          <t>Main</t>
        </is>
      </c>
      <c r="O26" s="29" t="inlineStr">
        <is>
          <t>Grill Salmon</t>
        </is>
      </c>
      <c r="R26" s="53" t="n">
        <v>19</v>
      </c>
      <c r="S26" s="55">
        <f t="array" ref="S26">INDEX($A$6:$K$600,SMALL(IF(COUNTIF($S$7,$I$6:$I$600)*COUNTIF(R26,$K$6:$K$600),MATCH(ROW($A$6:$H$600),ROW($A$6:$H$600))),ROWS($A$1:A1)),COLUMNS($A$1:$A$1))</f>
        <v/>
      </c>
      <c r="T26" s="49">
        <f>VLOOKUP(S26,$A$6:$H$600,7,0)</f>
        <v/>
      </c>
      <c r="U26" s="74">
        <f>VLOOKUP(S26,$A$6:$H$600,2,0)</f>
        <v/>
      </c>
      <c r="V26" s="51">
        <f>T26/$T$29</f>
        <v/>
      </c>
      <c r="W26" s="52">
        <f>U26/$U$29</f>
        <v/>
      </c>
    </row>
    <row r="27">
      <c r="A27" s="15" t="inlineStr">
        <is>
          <t>Bacon Sandwich</t>
        </is>
      </c>
      <c r="B27" s="18" t="n">
        <v>561</v>
      </c>
      <c r="C27" s="73" t="n">
        <v>0.00359706925416276</v>
      </c>
      <c r="D27" s="73" t="n">
        <v>0.00495540138751239</v>
      </c>
      <c r="E27" s="73" t="n">
        <v>0.0126100003371658</v>
      </c>
      <c r="F27" s="18" t="n">
        <v>0</v>
      </c>
      <c r="G27" s="20" t="n">
        <v>33</v>
      </c>
      <c r="H27" s="18" t="n">
        <v>17</v>
      </c>
      <c r="I27">
        <f t="array" ref="I27">IFERROR(INDEX($N$5:$N$271,MATCH(TRUE,EXACT(A27,$O$5:$O$271),)),"")</f>
        <v/>
      </c>
      <c r="J27" s="25">
        <f>IF(I27="","",IF(E27="","",G27))</f>
        <v/>
      </c>
      <c r="K27" s="26" t="n"/>
      <c r="N27" s="28" t="inlineStr">
        <is>
          <t>Main</t>
        </is>
      </c>
      <c r="O27" s="29" t="inlineStr">
        <is>
          <t>SUM Beef Burger</t>
        </is>
      </c>
      <c r="R27" s="53" t="n">
        <v>20</v>
      </c>
      <c r="S27" s="55">
        <f t="array" ref="S27">INDEX($A$6:$K$600,SMALL(IF(COUNTIF($S$7,$I$6:$I$600)*COUNTIF(R27,$K$6:$K$600),MATCH(ROW($A$6:$H$600),ROW($A$6:$H$600))),ROWS($A$1:A1)),COLUMNS($A$1:$A$1))</f>
        <v/>
      </c>
      <c r="T27" s="49">
        <f>VLOOKUP(S27,$A$6:$H$600,7,0)</f>
        <v/>
      </c>
      <c r="U27" s="74">
        <f>VLOOKUP(S27,$A$6:$H$600,2,0)</f>
        <v/>
      </c>
      <c r="V27" s="51">
        <f>T27/$T$29</f>
        <v/>
      </c>
      <c r="W27" s="52">
        <f>U27/$U$29</f>
        <v/>
      </c>
    </row>
    <row r="28" ht="14.75" customHeight="1">
      <c r="A28" s="15" t="inlineStr">
        <is>
          <t>Croissant</t>
        </is>
      </c>
      <c r="B28" s="18" t="n">
        <v>535.5</v>
      </c>
      <c r="C28" s="73" t="n">
        <v>0.00343356610624627</v>
      </c>
      <c r="D28" s="73" t="n">
        <v>0.00473015586989819</v>
      </c>
      <c r="E28" s="73" t="n">
        <v>0.0120368185036582</v>
      </c>
      <c r="F28" s="18" t="n">
        <v>0</v>
      </c>
      <c r="G28" s="20" t="n">
        <v>63</v>
      </c>
      <c r="H28" s="18" t="n">
        <v>8.5</v>
      </c>
      <c r="I28">
        <f t="array" ref="I28">IFERROR(INDEX($N$5:$N$271,MATCH(TRUE,EXACT(A28,$O$5:$O$271),)),"")</f>
        <v/>
      </c>
      <c r="J28" s="25">
        <f>IF(I28="","",IF(E28="","",G28))</f>
        <v/>
      </c>
      <c r="K28" s="26" t="n"/>
      <c r="N28" s="28" t="inlineStr">
        <is>
          <t>Main</t>
        </is>
      </c>
      <c r="O28" s="29" t="inlineStr">
        <is>
          <t>Grill Rib Eye</t>
        </is>
      </c>
      <c r="R28" s="56" t="n"/>
      <c r="S28" s="57" t="n"/>
      <c r="T28" s="57" t="n"/>
      <c r="U28" s="75" t="n"/>
      <c r="V28" s="59" t="n"/>
      <c r="W28" s="60" t="n"/>
    </row>
    <row r="29" ht="14.75" customHeight="1">
      <c r="A29" s="15" t="inlineStr">
        <is>
          <t>3 Eggs</t>
        </is>
      </c>
      <c r="B29" s="18" t="n">
        <v>522</v>
      </c>
      <c r="C29" s="73" t="n">
        <v>0.00334700561617283</v>
      </c>
      <c r="D29" s="73" t="n">
        <v>0.00461090824292597</v>
      </c>
      <c r="E29" s="73" t="n">
        <v>0.0117333692976837</v>
      </c>
      <c r="F29" s="18" t="n">
        <v>0</v>
      </c>
      <c r="G29" s="20" t="n">
        <v>29</v>
      </c>
      <c r="H29" s="18" t="n">
        <v>18</v>
      </c>
      <c r="I29">
        <f t="array" ref="I29">IFERROR(INDEX($N$5:$N$271,MATCH(TRUE,EXACT(A29,$O$5:$O$271),)),"")</f>
        <v/>
      </c>
      <c r="J29" s="25">
        <f>IF(I29="","",IF(E29="","",G29))</f>
        <v/>
      </c>
      <c r="K29" s="26" t="n"/>
      <c r="N29" s="28" t="inlineStr">
        <is>
          <t>Main</t>
        </is>
      </c>
      <c r="O29" s="29" t="inlineStr">
        <is>
          <t>SUM Rib Eye</t>
        </is>
      </c>
      <c r="R29" s="61" t="n"/>
      <c r="S29" s="62" t="inlineStr">
        <is>
          <t>Total</t>
        </is>
      </c>
      <c r="T29" s="62">
        <f>SUM(T8:T27)</f>
        <v/>
      </c>
      <c r="U29" s="76">
        <f>SUM(U8:U27)</f>
        <v/>
      </c>
      <c r="V29" s="64" t="n"/>
      <c r="W29" s="65" t="n"/>
    </row>
    <row r="30">
      <c r="A30" s="15" t="inlineStr">
        <is>
          <t>Fruit Salad</t>
        </is>
      </c>
      <c r="B30" s="18" t="n">
        <v>451</v>
      </c>
      <c r="C30" s="73" t="n">
        <v>0.0028917615572681</v>
      </c>
      <c r="D30" s="73" t="n">
        <v>0.00398375405662761</v>
      </c>
      <c r="E30" s="73" t="n">
        <v>0.010137451251447</v>
      </c>
      <c r="F30" s="18" t="n">
        <v>0</v>
      </c>
      <c r="G30" s="20" t="n">
        <v>41</v>
      </c>
      <c r="H30" s="18" t="n">
        <v>11</v>
      </c>
      <c r="I30">
        <f t="array" ref="I30">IFERROR(INDEX($N$5:$N$271,MATCH(TRUE,EXACT(A30,$O$5:$O$271),)),"")</f>
        <v/>
      </c>
      <c r="J30" s="25">
        <f>IF(I30="","",IF(E30="","",G30))</f>
        <v/>
      </c>
      <c r="K30" s="26" t="n"/>
      <c r="N30" s="28" t="inlineStr">
        <is>
          <t>Main</t>
        </is>
      </c>
      <c r="O30" s="29" t="inlineStr">
        <is>
          <t>Pepper Romano</t>
        </is>
      </c>
    </row>
    <row r="31">
      <c r="A31" s="15" t="inlineStr">
        <is>
          <t>BreakfastA Junket</t>
        </is>
      </c>
      <c r="B31" s="18" t="n">
        <v>400</v>
      </c>
      <c r="C31" s="73" t="n">
        <v>0.00256475526143512</v>
      </c>
      <c r="D31" s="73" t="n">
        <v>0.00353326302139921</v>
      </c>
      <c r="E31" s="73" t="n">
        <v>0.00899108758443193</v>
      </c>
      <c r="F31" s="18" t="n">
        <v>0</v>
      </c>
      <c r="G31" s="20" t="n">
        <v>50</v>
      </c>
      <c r="H31" s="18" t="n">
        <v>8</v>
      </c>
      <c r="I31">
        <f t="array" ref="I31">IFERROR(INDEX($N$5:$N$271,MATCH(TRUE,EXACT(A31,$O$5:$O$271),)),"")</f>
        <v/>
      </c>
      <c r="J31" s="25">
        <f>IF(I31="","",IF(E31="","",G31))</f>
        <v/>
      </c>
      <c r="K31" s="26" t="n"/>
      <c r="N31" s="28" t="inlineStr">
        <is>
          <t>Main</t>
        </is>
      </c>
      <c r="O31" s="29" t="inlineStr">
        <is>
          <t>Vegan Asparagus</t>
        </is>
      </c>
    </row>
    <row r="32">
      <c r="A32" s="15" t="inlineStr">
        <is>
          <t>Porridge</t>
        </is>
      </c>
      <c r="B32" s="18" t="n">
        <v>370</v>
      </c>
      <c r="C32" s="73" t="n">
        <v>0.00237239861682749</v>
      </c>
      <c r="D32" s="73" t="n">
        <v>0.00326826829479427</v>
      </c>
      <c r="E32" s="73" t="n">
        <v>0.008316756015599541</v>
      </c>
      <c r="F32" s="18" t="n">
        <v>0</v>
      </c>
      <c r="G32" s="20" t="n">
        <v>37</v>
      </c>
      <c r="H32" s="18" t="n">
        <v>10</v>
      </c>
      <c r="I32">
        <f t="array" ref="I32">IFERROR(INDEX($N$5:$N$271,MATCH(TRUE,EXACT(A32,$O$5:$O$271),)),"")</f>
        <v/>
      </c>
      <c r="J32" s="25">
        <f>IF(I32="","",IF(E32="","",G32))</f>
        <v/>
      </c>
      <c r="K32" s="26" t="n"/>
      <c r="N32" s="28" t="inlineStr">
        <is>
          <t>Main</t>
        </is>
      </c>
      <c r="O32" s="29" t="inlineStr">
        <is>
          <t>Vegan Pasta</t>
        </is>
      </c>
    </row>
    <row r="33">
      <c r="A33" s="15" t="inlineStr">
        <is>
          <t>Healthy Brf</t>
        </is>
      </c>
      <c r="B33" s="18" t="n">
        <v>324</v>
      </c>
      <c r="C33" s="73" t="n">
        <v>0.00207745176176245</v>
      </c>
      <c r="D33" s="73" t="n">
        <v>0.00286194304733336</v>
      </c>
      <c r="E33" s="73" t="n">
        <v>0.00728278094338986</v>
      </c>
      <c r="F33" s="18" t="n">
        <v>0</v>
      </c>
      <c r="G33" s="20" t="n">
        <v>9</v>
      </c>
      <c r="H33" s="18" t="n">
        <v>36</v>
      </c>
      <c r="I33">
        <f t="array" ref="I33">IFERROR(INDEX($N$5:$N$271,MATCH(TRUE,EXACT(A33,$O$5:$O$271),)),"")</f>
        <v/>
      </c>
      <c r="J33" s="25">
        <f>IF(I33="","",IF(E33="","",G33))</f>
        <v/>
      </c>
      <c r="K33" s="26" t="n"/>
      <c r="N33" s="28" t="inlineStr">
        <is>
          <t>Main</t>
        </is>
      </c>
      <c r="O33" s="29" t="inlineStr">
        <is>
          <t>Vegan Risotto</t>
        </is>
      </c>
    </row>
    <row r="34">
      <c r="A34" s="15" t="inlineStr">
        <is>
          <t>Champagne Brf</t>
        </is>
      </c>
      <c r="B34" s="18" t="n">
        <v>288</v>
      </c>
      <c r="C34" s="73" t="n">
        <v>0.00184662378823329</v>
      </c>
      <c r="D34" s="73" t="n">
        <v>0.00254394937540743</v>
      </c>
      <c r="E34" s="73" t="n">
        <v>0.00647358306079099</v>
      </c>
      <c r="F34" s="18" t="n">
        <v>0</v>
      </c>
      <c r="G34" s="20" t="n">
        <v>8</v>
      </c>
      <c r="H34" s="18" t="n">
        <v>36</v>
      </c>
      <c r="I34">
        <f t="array" ref="I34">IFERROR(INDEX($N$5:$N$271,MATCH(TRUE,EXACT(A34,$O$5:$O$271),)),"")</f>
        <v/>
      </c>
      <c r="J34" s="25">
        <f>IF(I34="","",IF(E34="","",G34))</f>
        <v/>
      </c>
      <c r="K34" s="26" t="n"/>
      <c r="N34" s="28" t="inlineStr">
        <is>
          <t>Main</t>
        </is>
      </c>
      <c r="O34" s="29" t="inlineStr">
        <is>
          <t>Bolognese Penne</t>
        </is>
      </c>
    </row>
    <row r="35">
      <c r="A35" s="15" t="inlineStr">
        <is>
          <t>Lobster Eggs Benedict</t>
        </is>
      </c>
      <c r="B35" s="18" t="n">
        <v>266</v>
      </c>
      <c r="C35" s="73" t="n">
        <v>0.00170556224885436</v>
      </c>
      <c r="D35" s="73" t="n">
        <v>0.00234961990923047</v>
      </c>
      <c r="E35" s="73" t="n">
        <v>0.00597907324364723</v>
      </c>
      <c r="F35" s="18" t="n">
        <v>0</v>
      </c>
      <c r="G35" s="20" t="n">
        <v>9</v>
      </c>
      <c r="H35" s="18" t="n">
        <v>29.5555555555556</v>
      </c>
      <c r="I35">
        <f t="array" ref="I35">IFERROR(INDEX($N$5:$N$271,MATCH(TRUE,EXACT(A35,$O$5:$O$271),)),"")</f>
        <v/>
      </c>
      <c r="J35" s="25">
        <f>IF(I35="","",IF(E35="","",G35))</f>
        <v/>
      </c>
      <c r="K35" s="26" t="n"/>
      <c r="N35" s="28" t="inlineStr">
        <is>
          <t>Main</t>
        </is>
      </c>
      <c r="O35" s="29" t="inlineStr">
        <is>
          <t>Penne</t>
        </is>
      </c>
    </row>
    <row r="36">
      <c r="A36" s="15" t="inlineStr">
        <is>
          <t>Waffles</t>
        </is>
      </c>
      <c r="B36" s="18" t="n">
        <v>224</v>
      </c>
      <c r="C36" s="73" t="n">
        <v>0.00143626294640367</v>
      </c>
      <c r="D36" s="73" t="n">
        <v>0.00197862729198356</v>
      </c>
      <c r="E36" s="73" t="n">
        <v>0.00503500904728188</v>
      </c>
      <c r="F36" s="18" t="n">
        <v>0</v>
      </c>
      <c r="G36" s="20" t="n">
        <v>16</v>
      </c>
      <c r="H36" s="18" t="n">
        <v>14</v>
      </c>
      <c r="I36">
        <f t="array" ref="I36">IFERROR(INDEX($N$5:$N$271,MATCH(TRUE,EXACT(A36,$O$5:$O$271),)),"")</f>
        <v/>
      </c>
      <c r="J36" s="25">
        <f>IF(I36="","",IF(E36="","",G36))</f>
        <v/>
      </c>
      <c r="K36" s="26" t="n"/>
      <c r="N36" s="28" t="inlineStr">
        <is>
          <t>Main</t>
        </is>
      </c>
      <c r="O36" s="29" t="inlineStr">
        <is>
          <t>Penne Arrabbiata</t>
        </is>
      </c>
    </row>
    <row r="37">
      <c r="A37" s="15" t="inlineStr">
        <is>
          <t>Boiled Eggs &amp; Soldiers</t>
        </is>
      </c>
      <c r="B37" s="18" t="n">
        <v>216</v>
      </c>
      <c r="C37" s="73" t="n">
        <v>0.00138496784117497</v>
      </c>
      <c r="D37" s="73" t="n">
        <v>0.00190796203155557</v>
      </c>
      <c r="E37" s="73" t="n">
        <v>0.00485518729559324</v>
      </c>
      <c r="F37" s="18" t="n">
        <v>0</v>
      </c>
      <c r="G37" s="20" t="n">
        <v>18</v>
      </c>
      <c r="H37" s="18" t="n">
        <v>12</v>
      </c>
      <c r="I37">
        <f t="array" ref="I37">IFERROR(INDEX($N$5:$N$271,MATCH(TRUE,EXACT(A37,$O$5:$O$271),)),"")</f>
        <v/>
      </c>
      <c r="J37" s="25">
        <f>IF(I37="","",IF(E37="","",G37))</f>
        <v/>
      </c>
      <c r="K37" s="26" t="n"/>
      <c r="N37" s="28" t="inlineStr">
        <is>
          <t>Main</t>
        </is>
      </c>
      <c r="O37" s="29" t="inlineStr">
        <is>
          <t>Linguine Bolognese</t>
        </is>
      </c>
    </row>
    <row r="38">
      <c r="A38" s="15" t="inlineStr">
        <is>
          <t>Eggs Florentine</t>
        </is>
      </c>
      <c r="B38" s="18" t="n">
        <v>209</v>
      </c>
      <c r="C38" s="73" t="n">
        <v>0.00134008462409985</v>
      </c>
      <c r="D38" s="73" t="n">
        <v>0.00184612992868109</v>
      </c>
      <c r="E38" s="73" t="n">
        <v>0.00469784326286568</v>
      </c>
      <c r="F38" s="18" t="n">
        <v>-19</v>
      </c>
      <c r="G38" s="20" t="n">
        <v>12</v>
      </c>
      <c r="H38" s="18" t="n">
        <v>17.4166666666667</v>
      </c>
      <c r="I38">
        <f t="array" ref="I38">IFERROR(INDEX($N$5:$N$271,MATCH(TRUE,EXACT(A38,$O$5:$O$271),)),"")</f>
        <v/>
      </c>
      <c r="J38" s="25">
        <f>IF(I38="","",IF(E38="","",G38))</f>
        <v/>
      </c>
      <c r="K38" s="26" t="n"/>
      <c r="N38" s="28" t="inlineStr">
        <is>
          <t>Main</t>
        </is>
      </c>
      <c r="O38" s="29" t="inlineStr">
        <is>
          <t>Bolognese Linguine</t>
        </is>
      </c>
    </row>
    <row r="39">
      <c r="A39" s="15" t="inlineStr">
        <is>
          <t>Egg White Omelette</t>
        </is>
      </c>
      <c r="B39" s="18" t="n">
        <v>198</v>
      </c>
      <c r="C39" s="73" t="n">
        <v>0.00126955385441039</v>
      </c>
      <c r="D39" s="73" t="n">
        <v>0.00174896519559261</v>
      </c>
      <c r="E39" s="73" t="n">
        <v>0.00445058835429381</v>
      </c>
      <c r="F39" s="18" t="n">
        <v>0</v>
      </c>
      <c r="G39" s="20" t="n">
        <v>11</v>
      </c>
      <c r="H39" s="18" t="n">
        <v>18</v>
      </c>
      <c r="I39">
        <f t="array" ref="I39">IFERROR(INDEX($N$5:$N$271,MATCH(TRUE,EXACT(A39,$O$5:$O$271),)),"")</f>
        <v/>
      </c>
      <c r="J39" s="25">
        <f>IF(I39="","",IF(E39="","",G39))</f>
        <v/>
      </c>
      <c r="K39" s="26" t="n"/>
      <c r="N39" s="28" t="inlineStr">
        <is>
          <t>Main</t>
        </is>
      </c>
      <c r="O39" s="29" t="inlineStr">
        <is>
          <t>Arrabbiata Penne</t>
        </is>
      </c>
    </row>
    <row r="40">
      <c r="A40" s="15" t="inlineStr">
        <is>
          <t>Yoghurt Plain</t>
        </is>
      </c>
      <c r="B40" s="18" t="n">
        <v>186</v>
      </c>
      <c r="C40" s="73" t="n">
        <v>0.00119261119656733</v>
      </c>
      <c r="D40" s="73" t="n">
        <v>0.00164296730495063</v>
      </c>
      <c r="E40" s="73" t="n">
        <v>0.00418085572676085</v>
      </c>
      <c r="F40" s="18" t="n">
        <v>0</v>
      </c>
      <c r="G40" s="20" t="n">
        <v>31</v>
      </c>
      <c r="H40" s="18" t="n">
        <v>6</v>
      </c>
      <c r="I40">
        <f t="array" ref="I40">IFERROR(INDEX($N$5:$N$271,MATCH(TRUE,EXACT(A40,$O$5:$O$271),)),"")</f>
        <v/>
      </c>
      <c r="J40" s="25">
        <f>IF(I40="","",IF(E40="","",G40))</f>
        <v/>
      </c>
      <c r="K40" s="26" t="n"/>
      <c r="N40" s="28" t="inlineStr">
        <is>
          <t>Main</t>
        </is>
      </c>
      <c r="O40" s="29" t="inlineStr">
        <is>
          <t>Arrabbiata Linguine</t>
        </is>
      </c>
    </row>
    <row r="41">
      <c r="A41" s="15" t="inlineStr">
        <is>
          <t>Yoghurt Fruit</t>
        </is>
      </c>
      <c r="B41" s="18" t="n">
        <v>180</v>
      </c>
      <c r="C41" s="73" t="n">
        <v>0.0011541398676458</v>
      </c>
      <c r="D41" s="73" t="n">
        <v>0.00158996835962964</v>
      </c>
      <c r="E41" s="73" t="n">
        <v>0.00404598941299437</v>
      </c>
      <c r="F41" s="18" t="n">
        <v>0</v>
      </c>
      <c r="G41" s="20" t="n">
        <v>30</v>
      </c>
      <c r="H41" s="18" t="n">
        <v>6</v>
      </c>
      <c r="I41">
        <f t="array" ref="I41">IFERROR(INDEX($N$5:$N$271,MATCH(TRUE,EXACT(A41,$O$5:$O$271),)),"")</f>
        <v/>
      </c>
      <c r="J41" s="25">
        <f>IF(I41="","",IF(E41="","",G41))</f>
        <v/>
      </c>
      <c r="K41" s="26" t="n"/>
      <c r="N41" s="28" t="inlineStr">
        <is>
          <t>Main</t>
        </is>
      </c>
      <c r="O41" s="29" t="inlineStr">
        <is>
          <t>Spaghetti</t>
        </is>
      </c>
    </row>
    <row r="42">
      <c r="A42" s="15" t="inlineStr">
        <is>
          <t>Breakfast Charcuterie</t>
        </is>
      </c>
      <c r="B42" s="18" t="n">
        <v>171</v>
      </c>
      <c r="C42" s="73" t="n">
        <v>0.00109643287426351</v>
      </c>
      <c r="D42" s="73" t="n">
        <v>0.00151046994164816</v>
      </c>
      <c r="E42" s="73" t="n">
        <v>0.00384368994234465</v>
      </c>
      <c r="F42" s="18" t="n">
        <v>0</v>
      </c>
      <c r="G42" s="20" t="n">
        <v>9</v>
      </c>
      <c r="H42" s="18" t="n">
        <v>19</v>
      </c>
      <c r="I42">
        <f t="array" ref="I42">IFERROR(INDEX($N$5:$N$271,MATCH(TRUE,EXACT(A42,$O$5:$O$271),)),"")</f>
        <v/>
      </c>
      <c r="J42" s="25">
        <f>IF(I42="","",IF(E42="","",G42))</f>
        <v/>
      </c>
      <c r="K42" s="26" t="n"/>
      <c r="N42" s="28" t="inlineStr">
        <is>
          <t>Main</t>
        </is>
      </c>
      <c r="O42" s="29" t="inlineStr">
        <is>
          <t>Linguine Arrabbiata</t>
        </is>
      </c>
    </row>
    <row r="43">
      <c r="A43" s="15" t="inlineStr">
        <is>
          <t>Crepes</t>
        </is>
      </c>
      <c r="B43" s="18" t="n">
        <v>168</v>
      </c>
      <c r="C43" s="73" t="n">
        <v>0.00107719720980275</v>
      </c>
      <c r="D43" s="73" t="n">
        <v>0.00148397046898767</v>
      </c>
      <c r="E43" s="73" t="n">
        <v>0.00377625678546141</v>
      </c>
      <c r="F43" s="18" t="n">
        <v>0</v>
      </c>
      <c r="G43" s="20" t="n">
        <v>12</v>
      </c>
      <c r="H43" s="18" t="n">
        <v>14</v>
      </c>
      <c r="I43">
        <f t="array" ref="I43">IFERROR(INDEX($N$5:$N$271,MATCH(TRUE,EXACT(A43,$O$5:$O$271),)),"")</f>
        <v/>
      </c>
      <c r="J43" s="25">
        <f>IF(I43="","",IF(E43="","",G43))</f>
        <v/>
      </c>
      <c r="K43" s="26" t="n"/>
      <c r="N43" s="28" t="inlineStr">
        <is>
          <t>Main</t>
        </is>
      </c>
      <c r="O43" s="29" t="inlineStr">
        <is>
          <t>Bolognaise Sauce</t>
        </is>
      </c>
    </row>
    <row r="44">
      <c r="A44" s="15" t="inlineStr">
        <is>
          <t>Bircher Muesli</t>
        </is>
      </c>
      <c r="B44" s="18" t="n">
        <v>132</v>
      </c>
      <c r="C44" s="73" t="n">
        <v>0.00084636923627359</v>
      </c>
      <c r="D44" s="73" t="n">
        <v>0.00116597679706174</v>
      </c>
      <c r="E44" s="73" t="n">
        <v>0.00296705890286254</v>
      </c>
      <c r="F44" s="18" t="n">
        <v>0</v>
      </c>
      <c r="G44" s="20" t="n">
        <v>12</v>
      </c>
      <c r="H44" s="18" t="n">
        <v>11</v>
      </c>
      <c r="I44">
        <f t="array" ref="I44">IFERROR(INDEX($N$5:$N$271,MATCH(TRUE,EXACT(A44,$O$5:$O$271),)),"")</f>
        <v/>
      </c>
      <c r="J44" s="25">
        <f>IF(I44="","",IF(E44="","",G44))</f>
        <v/>
      </c>
      <c r="K44" s="26" t="n"/>
      <c r="N44" s="28" t="inlineStr">
        <is>
          <t>Main</t>
        </is>
      </c>
      <c r="O44" s="29" t="inlineStr">
        <is>
          <t>Risotto Mushroom</t>
        </is>
      </c>
    </row>
    <row r="45">
      <c r="A45" s="15" t="inlineStr">
        <is>
          <t>Junket Breakfast</t>
        </is>
      </c>
      <c r="B45" s="18" t="n">
        <v>126</v>
      </c>
      <c r="C45" s="73" t="n">
        <v>0.000807897907352063</v>
      </c>
      <c r="D45" s="73" t="n">
        <v>0.00111297785174075</v>
      </c>
      <c r="E45" s="73" t="n">
        <v>0.00283219258909606</v>
      </c>
      <c r="F45" s="18" t="n">
        <v>0</v>
      </c>
      <c r="G45" s="20" t="n">
        <v>9</v>
      </c>
      <c r="H45" s="18" t="n">
        <v>14</v>
      </c>
      <c r="I45">
        <f t="array" ref="I45">IFERROR(INDEX($N$5:$N$271,MATCH(TRUE,EXACT(A45,$O$5:$O$271),)),"")</f>
        <v/>
      </c>
      <c r="J45" s="25">
        <f>IF(I45="","",IF(E45="","",G45))</f>
        <v/>
      </c>
      <c r="K45" s="26" t="n"/>
      <c r="N45" s="28" t="inlineStr">
        <is>
          <t>Main</t>
        </is>
      </c>
      <c r="O45" s="29" t="inlineStr">
        <is>
          <t>Mac &amp; Cheese</t>
        </is>
      </c>
    </row>
    <row r="46">
      <c r="A46" s="15" t="inlineStr">
        <is>
          <t>Homemade Granola</t>
        </is>
      </c>
      <c r="B46" s="18" t="n">
        <v>112</v>
      </c>
      <c r="C46" s="73" t="n">
        <v>0.0007181314732018341</v>
      </c>
      <c r="D46" s="73" t="n">
        <v>0.000989313645991778</v>
      </c>
      <c r="E46" s="73" t="n">
        <v>0.00251750452364094</v>
      </c>
      <c r="F46" s="18" t="n">
        <v>0</v>
      </c>
      <c r="G46" s="20" t="n">
        <v>14</v>
      </c>
      <c r="H46" s="18" t="n">
        <v>8</v>
      </c>
      <c r="I46">
        <f t="array" ref="I46">IFERROR(INDEX($N$5:$N$271,MATCH(TRUE,EXACT(A46,$O$5:$O$271),)),"")</f>
        <v/>
      </c>
      <c r="J46" s="25">
        <f>IF(I46="","",IF(E46="","",G46))</f>
        <v/>
      </c>
      <c r="K46" s="26" t="n"/>
      <c r="N46" s="28" t="inlineStr">
        <is>
          <t>Main</t>
        </is>
      </c>
      <c r="O46" s="29" t="inlineStr">
        <is>
          <t>.</t>
        </is>
      </c>
    </row>
    <row r="47">
      <c r="A47" s="15" t="inlineStr">
        <is>
          <t>Chocolate Pastry</t>
        </is>
      </c>
      <c r="B47" s="18" t="n">
        <v>85</v>
      </c>
      <c r="C47" s="73" t="n">
        <v>0.000545010493054963</v>
      </c>
      <c r="D47" s="73" t="n">
        <v>0.000750818392047332</v>
      </c>
      <c r="E47" s="73" t="n">
        <v>0.00191060611169179</v>
      </c>
      <c r="F47" s="18" t="n">
        <v>0</v>
      </c>
      <c r="G47" s="20" t="n">
        <v>10</v>
      </c>
      <c r="H47" s="18" t="n">
        <v>8.5</v>
      </c>
      <c r="I47">
        <f t="array" ref="I47">IFERROR(INDEX($N$5:$N$271,MATCH(TRUE,EXACT(A47,$O$5:$O$271),)),"")</f>
        <v/>
      </c>
      <c r="J47" s="25">
        <f>IF(I47="","",IF(E47="","",G47))</f>
        <v/>
      </c>
      <c r="K47" s="26" t="n"/>
      <c r="N47" s="28" t="inlineStr">
        <is>
          <t>Main</t>
        </is>
      </c>
      <c r="O47" s="29" t="inlineStr">
        <is>
          <t>.</t>
        </is>
      </c>
    </row>
    <row r="48">
      <c r="A48" s="15" t="inlineStr">
        <is>
          <t>Greek Yoghurt</t>
        </is>
      </c>
      <c r="B48" s="18" t="n">
        <v>78</v>
      </c>
      <c r="C48" s="73" t="n">
        <v>0.0005001272759798489</v>
      </c>
      <c r="D48" s="73" t="n">
        <v>0.000688986289172845</v>
      </c>
      <c r="E48" s="73" t="n">
        <v>0.00175326207896423</v>
      </c>
      <c r="F48" s="18" t="n">
        <v>0</v>
      </c>
      <c r="G48" s="20" t="n">
        <v>13</v>
      </c>
      <c r="H48" s="18" t="n">
        <v>6</v>
      </c>
      <c r="I48">
        <f t="array" ref="I48">IFERROR(INDEX($N$5:$N$271,MATCH(TRUE,EXACT(A48,$O$5:$O$271),)),"")</f>
        <v/>
      </c>
      <c r="J48" s="25">
        <f>IF(I48="","",IF(E48="","",G48))</f>
        <v/>
      </c>
      <c r="K48" s="26" t="n"/>
      <c r="N48" s="28" t="inlineStr">
        <is>
          <t>Main</t>
        </is>
      </c>
      <c r="O48" s="29" t="inlineStr">
        <is>
          <t>.</t>
        </is>
      </c>
    </row>
    <row r="49">
      <c r="A49" s="15" t="inlineStr">
        <is>
          <t>Healthy Bfst Inc</t>
        </is>
      </c>
      <c r="B49" s="18" t="n">
        <v>72</v>
      </c>
      <c r="C49" s="73" t="n">
        <v>0.000461655947058322</v>
      </c>
      <c r="D49" s="73" t="n">
        <v>0.000635987343851857</v>
      </c>
      <c r="E49" s="73" t="n">
        <v>0.00161839576519775</v>
      </c>
      <c r="F49" s="18" t="n">
        <v>0</v>
      </c>
      <c r="G49" s="20" t="n">
        <v>2</v>
      </c>
      <c r="H49" s="18" t="n">
        <v>36</v>
      </c>
      <c r="I49">
        <f t="array" ref="I49">IFERROR(INDEX($N$5:$N$271,MATCH(TRUE,EXACT(A49,$O$5:$O$271),)),"")</f>
        <v/>
      </c>
      <c r="J49" s="25">
        <f>IF(I49="","",IF(E49="","",G49))</f>
        <v/>
      </c>
      <c r="K49" s="26" t="n"/>
      <c r="N49" s="28" t="inlineStr">
        <is>
          <t>Main</t>
        </is>
      </c>
      <c r="O49" s="29" t="inlineStr">
        <is>
          <t>.</t>
        </is>
      </c>
    </row>
    <row r="50">
      <c r="A50" s="15" t="inlineStr">
        <is>
          <t>Danish Pastry</t>
        </is>
      </c>
      <c r="B50" s="18" t="n">
        <v>68</v>
      </c>
      <c r="C50" s="73" t="n">
        <v>0.000436008394443971</v>
      </c>
      <c r="D50" s="73" t="n">
        <v>0.000600654713637865</v>
      </c>
      <c r="E50" s="73" t="n">
        <v>0.00152848488935343</v>
      </c>
      <c r="F50" s="18" t="n">
        <v>0</v>
      </c>
      <c r="G50" s="20" t="n">
        <v>8</v>
      </c>
      <c r="H50" s="18" t="n">
        <v>8.5</v>
      </c>
      <c r="I50">
        <f t="array" ref="I50">IFERROR(INDEX($N$5:$N$271,MATCH(TRUE,EXACT(A50,$O$5:$O$271),)),"")</f>
        <v/>
      </c>
      <c r="J50" s="25">
        <f>IF(I50="","",IF(E50="","",G50))</f>
        <v/>
      </c>
      <c r="K50" s="26" t="n"/>
      <c r="N50" s="28" t="inlineStr">
        <is>
          <t>Main</t>
        </is>
      </c>
      <c r="O50" s="29" t="inlineStr">
        <is>
          <t>.</t>
        </is>
      </c>
    </row>
    <row r="51">
      <c r="A51" s="15" t="inlineStr">
        <is>
          <t>Sausage Sandwich</t>
        </is>
      </c>
      <c r="B51" s="18" t="n">
        <v>68</v>
      </c>
      <c r="C51" s="73" t="n">
        <v>0.000436008394443971</v>
      </c>
      <c r="D51" s="73" t="n">
        <v>0.000600654713637865</v>
      </c>
      <c r="E51" s="73" t="n">
        <v>0.00152848488935343</v>
      </c>
      <c r="F51" s="18" t="n">
        <v>0</v>
      </c>
      <c r="G51" s="20" t="n">
        <v>4</v>
      </c>
      <c r="H51" s="18" t="n">
        <v>17</v>
      </c>
      <c r="I51">
        <f t="array" ref="I51">IFERROR(INDEX($N$5:$N$271,MATCH(TRUE,EXACT(A51,$O$5:$O$271),)),"")</f>
        <v/>
      </c>
      <c r="J51" s="25">
        <f>IF(I51="","",IF(E51="","",G51))</f>
        <v/>
      </c>
      <c r="K51" s="26" t="n"/>
      <c r="N51" s="28" t="inlineStr">
        <is>
          <t>Main</t>
        </is>
      </c>
      <c r="O51" s="29" t="inlineStr">
        <is>
          <t>.</t>
        </is>
      </c>
    </row>
    <row r="52">
      <c r="A52" s="15" t="inlineStr">
        <is>
          <t>Grilled Kippers</t>
        </is>
      </c>
      <c r="B52" s="18" t="n">
        <v>54</v>
      </c>
      <c r="C52" s="73" t="n">
        <v>0.000346241960293741</v>
      </c>
      <c r="D52" s="73" t="n">
        <v>0.000476990507888893</v>
      </c>
      <c r="E52" s="73" t="n">
        <v>0.00121379682389831</v>
      </c>
      <c r="F52" s="18" t="n">
        <v>0</v>
      </c>
      <c r="G52" s="20" t="n">
        <v>3</v>
      </c>
      <c r="H52" s="18" t="n">
        <v>18</v>
      </c>
      <c r="I52">
        <f t="array" ref="I52">IFERROR(INDEX($N$5:$N$271,MATCH(TRUE,EXACT(A52,$O$5:$O$271),)),"")</f>
        <v/>
      </c>
      <c r="J52" s="25">
        <f>IF(I52="","",IF(E52="","",G52))</f>
        <v/>
      </c>
      <c r="K52" s="26" t="n"/>
      <c r="N52" s="28" t="inlineStr">
        <is>
          <t>Main</t>
        </is>
      </c>
      <c r="O52" s="29" t="inlineStr">
        <is>
          <t>.</t>
        </is>
      </c>
    </row>
    <row r="53">
      <c r="A53" s="15" t="inlineStr">
        <is>
          <t>Smoked Haddock</t>
        </is>
      </c>
      <c r="B53" s="18" t="n">
        <v>40</v>
      </c>
      <c r="C53" s="73" t="n">
        <v>0.000256475526143512</v>
      </c>
      <c r="D53" s="73" t="n">
        <v>0.000353326302139921</v>
      </c>
      <c r="E53" s="73" t="n">
        <v>0.000899108758443193</v>
      </c>
      <c r="F53" s="18" t="n">
        <v>0</v>
      </c>
      <c r="G53" s="20" t="n">
        <v>2</v>
      </c>
      <c r="H53" s="18" t="n">
        <v>20</v>
      </c>
      <c r="I53">
        <f t="array" ref="I53">IFERROR(INDEX($N$5:$N$271,MATCH(TRUE,EXACT(A53,$O$5:$O$271),)),"")</f>
        <v/>
      </c>
      <c r="J53" s="25">
        <f>IF(I53="","",IF(E53="","",G53))</f>
        <v/>
      </c>
      <c r="K53" s="26" t="n"/>
      <c r="N53" s="28" t="inlineStr">
        <is>
          <t>Main</t>
        </is>
      </c>
      <c r="O53" s="29" t="inlineStr">
        <is>
          <t>.</t>
        </is>
      </c>
    </row>
    <row r="54">
      <c r="A54" s="15" t="inlineStr">
        <is>
          <t>Cheese Plate</t>
        </is>
      </c>
      <c r="B54" s="18" t="n">
        <v>30</v>
      </c>
      <c r="C54" s="73" t="n">
        <v>0.000192356644607634</v>
      </c>
      <c r="D54" s="73" t="n">
        <v>0.000264994726604941</v>
      </c>
      <c r="E54" s="73" t="n">
        <v>0.0006743315688323951</v>
      </c>
      <c r="F54" s="18" t="n">
        <v>0</v>
      </c>
      <c r="G54" s="20" t="n">
        <v>3</v>
      </c>
      <c r="H54" s="18" t="n">
        <v>10</v>
      </c>
      <c r="I54">
        <f t="array" ref="I54">IFERROR(INDEX($N$5:$N$271,MATCH(TRUE,EXACT(A54,$O$5:$O$271),)),"")</f>
        <v/>
      </c>
      <c r="J54" s="25">
        <f>IF(I54="","",IF(E54="","",G54))</f>
        <v/>
      </c>
      <c r="K54" s="26" t="n"/>
      <c r="N54" s="28" t="inlineStr">
        <is>
          <t>Main</t>
        </is>
      </c>
      <c r="O54" s="29" t="inlineStr">
        <is>
          <t>.</t>
        </is>
      </c>
    </row>
    <row r="55">
      <c r="A55" s="15" t="inlineStr">
        <is>
          <t>1 Fresh Fruit</t>
        </is>
      </c>
      <c r="B55" s="18" t="n">
        <v>12</v>
      </c>
      <c r="C55" s="73" t="n">
        <v>7.69426578430537e-05</v>
      </c>
      <c r="D55" s="73" t="n">
        <v>0.000105997890641976</v>
      </c>
      <c r="E55" s="73" t="n">
        <v>0.000269732627532958</v>
      </c>
      <c r="F55" s="18" t="n">
        <v>0</v>
      </c>
      <c r="G55" s="20" t="n">
        <v>6</v>
      </c>
      <c r="H55" s="18" t="n">
        <v>2</v>
      </c>
      <c r="I55">
        <f t="array" ref="I55">IFERROR(INDEX($N$5:$N$271,MATCH(TRUE,EXACT(A55,$O$5:$O$271),)),"")</f>
        <v/>
      </c>
      <c r="J55" s="25">
        <f>IF(I55="","",IF(E55="","",G55))</f>
        <v/>
      </c>
      <c r="K55" s="26" t="n"/>
      <c r="N55" s="28" t="inlineStr">
        <is>
          <t>Main</t>
        </is>
      </c>
      <c r="O55" s="29" t="inlineStr">
        <is>
          <t>.</t>
        </is>
      </c>
    </row>
    <row r="56">
      <c r="A56" s="15" t="inlineStr">
        <is>
          <t>Almond Croissant</t>
        </is>
      </c>
      <c r="B56" s="18" t="n">
        <v>7</v>
      </c>
      <c r="C56" s="73" t="n">
        <v>4.48832170751146e-05</v>
      </c>
      <c r="D56" s="73" t="n">
        <v>6.18321028744861e-05</v>
      </c>
      <c r="E56" s="73" t="n">
        <v>0.000157344032727559</v>
      </c>
      <c r="F56" s="18" t="n">
        <v>0</v>
      </c>
      <c r="G56" s="20" t="n">
        <v>1</v>
      </c>
      <c r="H56" s="18" t="n">
        <v>7</v>
      </c>
      <c r="I56">
        <f t="array" ref="I56">IFERROR(INDEX($N$5:$N$271,MATCH(TRUE,EXACT(A56,$O$5:$O$271),)),"")</f>
        <v/>
      </c>
      <c r="J56" s="25">
        <f>IF(I56="","",IF(E56="","",G56))</f>
        <v/>
      </c>
      <c r="K56" s="26" t="n"/>
      <c r="N56" s="28" t="inlineStr">
        <is>
          <t>Main</t>
        </is>
      </c>
      <c r="O56" s="29" t="inlineStr">
        <is>
          <t>.</t>
        </is>
      </c>
    </row>
    <row r="57">
      <c r="A57" s="15" t="inlineStr">
        <is>
          <t>Cream Cheese</t>
        </is>
      </c>
      <c r="B57" s="18" t="n">
        <v>6</v>
      </c>
      <c r="C57" s="73" t="n">
        <v>3.84713289215268e-05</v>
      </c>
      <c r="D57" s="73" t="n">
        <v>5.29989453209881e-05</v>
      </c>
      <c r="E57" s="73" t="n">
        <v>0.000134866313766479</v>
      </c>
      <c r="F57" s="18" t="n">
        <v>0</v>
      </c>
      <c r="G57" s="20" t="n">
        <v>1</v>
      </c>
      <c r="H57" s="18" t="n">
        <v>6</v>
      </c>
      <c r="I57">
        <f t="array" ref="I57">IFERROR(INDEX($N$5:$N$271,MATCH(TRUE,EXACT(A57,$O$5:$O$271),)),"")</f>
        <v/>
      </c>
      <c r="J57" s="25">
        <f>IF(I57="","",IF(E57="","",G57))</f>
        <v/>
      </c>
      <c r="K57" s="26" t="n"/>
      <c r="N57" s="28" t="inlineStr">
        <is>
          <t>Main</t>
        </is>
      </c>
      <c r="O57" s="29" t="inlineStr">
        <is>
          <t>.</t>
        </is>
      </c>
    </row>
    <row r="58">
      <c r="A58" s="17" t="inlineStr">
        <is>
          <t>Hot Beverage Natural Juices</t>
        </is>
      </c>
      <c r="B58" s="13" t="n">
        <v>13776.5</v>
      </c>
      <c r="C58" s="70" t="n">
        <v>0.0883333771479024</v>
      </c>
      <c r="D58" s="70" t="n">
        <v>0.121689995035765</v>
      </c>
      <c r="E58" s="15" t="inlineStr"/>
      <c r="F58" s="13" t="n">
        <v>-20</v>
      </c>
      <c r="G58" s="16" t="n">
        <v>2963</v>
      </c>
      <c r="H58" s="13" t="n">
        <v>4.64951063111711</v>
      </c>
      <c r="I58">
        <f t="array" ref="I58">IFERROR(INDEX($N$5:$N$271,MATCH(TRUE,EXACT(A58,$O$5:$O$271),)),"")</f>
        <v/>
      </c>
      <c r="J58" s="25">
        <f>IF(I58="","",IF(E58="","",G58))</f>
        <v/>
      </c>
      <c r="K58" s="26" t="n"/>
      <c r="N58" s="28" t="inlineStr">
        <is>
          <t>Main</t>
        </is>
      </c>
      <c r="O58" s="29" t="inlineStr">
        <is>
          <t>.</t>
        </is>
      </c>
    </row>
    <row r="59">
      <c r="A59" s="15" t="inlineStr">
        <is>
          <t>Orange Juice</t>
        </is>
      </c>
      <c r="B59" s="18" t="n">
        <v>2499</v>
      </c>
      <c r="C59" s="73" t="n">
        <v>0.0160233084958159</v>
      </c>
      <c r="D59" s="73" t="n">
        <v>0.0220740607261915</v>
      </c>
      <c r="E59" s="73" t="n">
        <v>0.18139585526077</v>
      </c>
      <c r="F59" s="18" t="n">
        <v>0</v>
      </c>
      <c r="G59" s="20" t="n">
        <v>678</v>
      </c>
      <c r="H59" s="18" t="n">
        <v>3.6858407079646</v>
      </c>
      <c r="I59">
        <f t="array" ref="I59">IFERROR(INDEX($N$5:$N$271,MATCH(TRUE,EXACT(A59,$O$5:$O$271),)),"")</f>
        <v/>
      </c>
      <c r="J59" s="25">
        <f>IF(I59="","",IF(E59="","",G59))</f>
        <v/>
      </c>
      <c r="K59" s="26" t="n"/>
      <c r="N59" s="28" t="inlineStr">
        <is>
          <t>Main</t>
        </is>
      </c>
      <c r="O59" s="29" t="inlineStr">
        <is>
          <t>.</t>
        </is>
      </c>
    </row>
    <row r="60">
      <c r="A60" s="15" t="inlineStr">
        <is>
          <t>COR Breakfast Tea</t>
        </is>
      </c>
      <c r="B60" s="18" t="n">
        <v>2191</v>
      </c>
      <c r="C60" s="73" t="n">
        <v>0.0140484469445109</v>
      </c>
      <c r="D60" s="73" t="n">
        <v>0.0193534481997142</v>
      </c>
      <c r="E60" s="73" t="n">
        <v>0.15903894312779</v>
      </c>
      <c r="F60" s="18" t="n">
        <v>0</v>
      </c>
      <c r="G60" s="20" t="n">
        <v>466</v>
      </c>
      <c r="H60" s="18" t="n">
        <v>4.70171673819743</v>
      </c>
      <c r="I60">
        <f t="array" ref="I60">IFERROR(INDEX($N$5:$N$271,MATCH(TRUE,EXACT(A60,$O$5:$O$271),)),"")</f>
        <v/>
      </c>
      <c r="J60" s="25">
        <f>IF(I60="","",IF(E60="","",G60))</f>
        <v/>
      </c>
      <c r="K60" s="26" t="n"/>
      <c r="N60" s="28" t="inlineStr">
        <is>
          <t>Main</t>
        </is>
      </c>
      <c r="O60" s="29" t="inlineStr">
        <is>
          <t>.</t>
        </is>
      </c>
    </row>
    <row r="61" ht="14.75" customHeight="1">
      <c r="A61" s="15" t="inlineStr">
        <is>
          <t>Filter Coffee</t>
        </is>
      </c>
      <c r="B61" s="18" t="n">
        <v>1072.5</v>
      </c>
      <c r="C61" s="73" t="n">
        <v>0.00687675004472292</v>
      </c>
      <c r="D61" s="73" t="n">
        <v>0.009473561476126619</v>
      </c>
      <c r="E61" s="73" t="n">
        <v>0.077849961891627</v>
      </c>
      <c r="F61" s="18" t="n">
        <v>0</v>
      </c>
      <c r="G61" s="20" t="n">
        <v>275</v>
      </c>
      <c r="H61" s="18" t="n">
        <v>3.9</v>
      </c>
      <c r="I61">
        <f t="array" ref="I61">IFERROR(INDEX($N$5:$N$271,MATCH(TRUE,EXACT(A61,$O$5:$O$271),)),"")</f>
        <v/>
      </c>
      <c r="J61" s="25">
        <f>IF(I61="","",IF(E61="","",G61))</f>
        <v/>
      </c>
      <c r="K61" s="26" t="n"/>
      <c r="N61" s="28" t="inlineStr">
        <is>
          <t>Main</t>
        </is>
      </c>
      <c r="O61" s="29" t="inlineStr">
        <is>
          <t>.</t>
        </is>
      </c>
    </row>
    <row r="62" ht="14.75" customHeight="1">
      <c r="A62" s="15" t="inlineStr">
        <is>
          <t>Cafe Latte</t>
        </is>
      </c>
      <c r="B62" s="18" t="n">
        <v>1066</v>
      </c>
      <c r="C62" s="73" t="n">
        <v>0.0068350727717246</v>
      </c>
      <c r="D62" s="73" t="n">
        <v>0.009416145952028891</v>
      </c>
      <c r="E62" s="73" t="n">
        <v>0.0773781439407687</v>
      </c>
      <c r="F62" s="18" t="n">
        <v>0</v>
      </c>
      <c r="G62" s="20" t="n">
        <v>229</v>
      </c>
      <c r="H62" s="18" t="n">
        <v>4.65502183406114</v>
      </c>
      <c r="I62">
        <f t="array" ref="I62">IFERROR(INDEX($N$5:$N$271,MATCH(TRUE,EXACT(A62,$O$5:$O$271),)),"")</f>
        <v/>
      </c>
      <c r="J62" s="25">
        <f>IF(I62="","",IF(E62="","",G62))</f>
        <v/>
      </c>
      <c r="K62" s="26" t="n"/>
      <c r="N62" s="30" t="inlineStr">
        <is>
          <t>Dessert</t>
        </is>
      </c>
      <c r="O62" s="29" t="inlineStr">
        <is>
          <t>Apple Crumble</t>
        </is>
      </c>
    </row>
    <row r="63">
      <c r="A63" s="15" t="inlineStr">
        <is>
          <t>Cappucino</t>
        </is>
      </c>
      <c r="B63" s="18" t="n">
        <v>923</v>
      </c>
      <c r="C63" s="73" t="n">
        <v>0.00591817276576154</v>
      </c>
      <c r="D63" s="73" t="n">
        <v>0.008153004421878669</v>
      </c>
      <c r="E63" s="73" t="n">
        <v>0.0669981490218851</v>
      </c>
      <c r="F63" s="18" t="n">
        <v>0</v>
      </c>
      <c r="G63" s="20" t="n">
        <v>187</v>
      </c>
      <c r="H63" s="18" t="n">
        <v>4.93582887700535</v>
      </c>
      <c r="I63">
        <f t="array" ref="I63">IFERROR(INDEX($N$5:$N$271,MATCH(TRUE,EXACT(A63,$O$5:$O$271),)),"")</f>
        <v/>
      </c>
      <c r="J63" s="25">
        <f>IF(I63="","",IF(E63="","",G63))</f>
        <v/>
      </c>
      <c r="K63" s="26" t="n"/>
      <c r="N63" s="28" t="inlineStr">
        <is>
          <t>Dessert</t>
        </is>
      </c>
      <c r="O63" s="29" t="inlineStr">
        <is>
          <t>Chocolate Fondant</t>
        </is>
      </c>
    </row>
    <row r="64">
      <c r="A64" s="15" t="inlineStr">
        <is>
          <t>Junket Coffee</t>
        </is>
      </c>
      <c r="B64" s="18" t="n">
        <v>708</v>
      </c>
      <c r="C64" s="73" t="n">
        <v>0.00453961681274017</v>
      </c>
      <c r="D64" s="73" t="n">
        <v>0.0062538755478766</v>
      </c>
      <c r="E64" s="73" t="n">
        <v>0.0513918629550321</v>
      </c>
      <c r="F64" s="18" t="n">
        <v>0</v>
      </c>
      <c r="G64" s="20" t="n">
        <v>118</v>
      </c>
      <c r="H64" s="18" t="n">
        <v>6</v>
      </c>
      <c r="I64">
        <f t="array" ref="I64">IFERROR(INDEX($N$5:$N$271,MATCH(TRUE,EXACT(A64,$O$5:$O$271),)),"")</f>
        <v/>
      </c>
      <c r="J64" s="25">
        <f>IF(I64="","",IF(E64="","",G64))</f>
        <v/>
      </c>
      <c r="K64" s="26" t="n"/>
      <c r="N64" s="28" t="inlineStr">
        <is>
          <t>Dessert</t>
        </is>
      </c>
      <c r="O64" s="29" t="inlineStr">
        <is>
          <t>Brulee</t>
        </is>
      </c>
    </row>
    <row r="65">
      <c r="A65" s="15" t="inlineStr">
        <is>
          <t>Apple Juice</t>
        </is>
      </c>
      <c r="B65" s="18" t="n">
        <v>693</v>
      </c>
      <c r="C65" s="73" t="n">
        <v>0.00444343849043635</v>
      </c>
      <c r="D65" s="73" t="n">
        <v>0.00612137818457413</v>
      </c>
      <c r="E65" s="73" t="n">
        <v>0.0503030522992052</v>
      </c>
      <c r="F65" s="18" t="n">
        <v>0</v>
      </c>
      <c r="G65" s="20" t="n">
        <v>169</v>
      </c>
      <c r="H65" s="18" t="n">
        <v>4.10059171597633</v>
      </c>
      <c r="I65">
        <f t="array" ref="I65">IFERROR(INDEX($N$5:$N$271,MATCH(TRUE,EXACT(A65,$O$5:$O$271),)),"")</f>
        <v/>
      </c>
      <c r="J65" s="25">
        <f>IF(I65="","",IF(E65="","",G65))</f>
        <v/>
      </c>
      <c r="K65" s="26" t="n"/>
      <c r="N65" s="28" t="inlineStr">
        <is>
          <t>Dessert</t>
        </is>
      </c>
      <c r="O65" s="29" t="inlineStr">
        <is>
          <t>Cheese Board</t>
        </is>
      </c>
    </row>
    <row r="66">
      <c r="A66" s="15" t="inlineStr">
        <is>
          <t>Hot Chocolate</t>
        </is>
      </c>
      <c r="B66" s="18" t="n">
        <v>465</v>
      </c>
      <c r="C66" s="73" t="n">
        <v>0.00298152799141833</v>
      </c>
      <c r="D66" s="73" t="n">
        <v>0.00410741826237658</v>
      </c>
      <c r="E66" s="73" t="n">
        <v>0.0337531303306355</v>
      </c>
      <c r="F66" s="18" t="n">
        <v>0</v>
      </c>
      <c r="G66" s="20" t="n">
        <v>91</v>
      </c>
      <c r="H66" s="18" t="n">
        <v>5.10989010989011</v>
      </c>
      <c r="I66">
        <f t="array" ref="I66">IFERROR(INDEX($N$5:$N$271,MATCH(TRUE,EXACT(A66,$O$5:$O$271),)),"")</f>
        <v/>
      </c>
      <c r="J66" s="25">
        <f>IF(I66="","",IF(E66="","",G66))</f>
        <v/>
      </c>
      <c r="K66" s="26" t="n"/>
      <c r="N66" s="28" t="inlineStr">
        <is>
          <t>Dessert</t>
        </is>
      </c>
      <c r="O66" s="29" t="inlineStr">
        <is>
          <t>Dipped Strawberry</t>
        </is>
      </c>
    </row>
    <row r="67">
      <c r="A67" s="15" t="inlineStr">
        <is>
          <t>COR Junket Tea</t>
        </is>
      </c>
      <c r="B67" s="18" t="n">
        <v>348</v>
      </c>
      <c r="C67" s="73" t="n">
        <v>0.00223133707744856</v>
      </c>
      <c r="D67" s="73" t="n">
        <v>0.00307393882861731</v>
      </c>
      <c r="E67" s="73" t="n">
        <v>0.0252604072151853</v>
      </c>
      <c r="F67" s="18" t="n">
        <v>0</v>
      </c>
      <c r="G67" s="20" t="n">
        <v>58</v>
      </c>
      <c r="H67" s="18" t="n">
        <v>6</v>
      </c>
      <c r="I67">
        <f t="array" ref="I67">IFERROR(INDEX($N$5:$N$271,MATCH(TRUE,EXACT(A67,$O$5:$O$271),)),"")</f>
        <v/>
      </c>
      <c r="J67" s="25">
        <f>IF(I67="","",IF(E67="","",G67))</f>
        <v/>
      </c>
      <c r="K67" s="26" t="n"/>
      <c r="N67" s="28" t="inlineStr">
        <is>
          <t>Dessert</t>
        </is>
      </c>
      <c r="O67" s="29" t="inlineStr">
        <is>
          <t>Ice Cream 3 Sc</t>
        </is>
      </c>
    </row>
    <row r="68">
      <c r="A68" s="15" t="inlineStr">
        <is>
          <t>Smoothie</t>
        </is>
      </c>
      <c r="B68" s="18" t="n">
        <v>300</v>
      </c>
      <c r="C68" s="73" t="n">
        <v>0.00192356644607634</v>
      </c>
      <c r="D68" s="73" t="n">
        <v>0.00264994726604941</v>
      </c>
      <c r="E68" s="73" t="n">
        <v>0.021776213116539</v>
      </c>
      <c r="F68" s="18" t="n">
        <v>0</v>
      </c>
      <c r="G68" s="20" t="n">
        <v>28</v>
      </c>
      <c r="H68" s="18" t="n">
        <v>10.7142857142857</v>
      </c>
      <c r="I68">
        <f t="array" ref="I68">IFERROR(INDEX($N$5:$N$271,MATCH(TRUE,EXACT(A68,$O$5:$O$271),)),"")</f>
        <v/>
      </c>
      <c r="J68" s="25">
        <f>IF(I68="","",IF(E68="","",G68))</f>
        <v/>
      </c>
      <c r="K68" s="26" t="n"/>
      <c r="N68" s="28" t="inlineStr">
        <is>
          <t>Dessert</t>
        </is>
      </c>
      <c r="O68" s="29" t="inlineStr">
        <is>
          <t>Ice Cream 1 Sc</t>
        </is>
      </c>
    </row>
    <row r="69">
      <c r="A69" s="15" t="inlineStr">
        <is>
          <t>COR Earl Grey</t>
        </is>
      </c>
      <c r="B69" s="18" t="n">
        <v>294</v>
      </c>
      <c r="C69" s="73" t="n">
        <v>0.00188509511715481</v>
      </c>
      <c r="D69" s="73" t="n">
        <v>0.00259694832072842</v>
      </c>
      <c r="E69" s="73" t="n">
        <v>0.0213406888542083</v>
      </c>
      <c r="F69" s="18" t="n">
        <v>0</v>
      </c>
      <c r="G69" s="20" t="n">
        <v>56</v>
      </c>
      <c r="H69" s="18" t="n">
        <v>5.25</v>
      </c>
      <c r="I69">
        <f t="array" ref="I69">IFERROR(INDEX($N$5:$N$271,MATCH(TRUE,EXACT(A69,$O$5:$O$271),)),"")</f>
        <v/>
      </c>
      <c r="J69" s="25">
        <f>IF(I69="","",IF(E69="","",G69))</f>
        <v/>
      </c>
      <c r="K69" s="26" t="n"/>
      <c r="N69" s="28" t="inlineStr">
        <is>
          <t>Dessert</t>
        </is>
      </c>
      <c r="O69" s="29" t="inlineStr">
        <is>
          <t>Choc Brownie</t>
        </is>
      </c>
    </row>
    <row r="70">
      <c r="A70" s="15" t="inlineStr">
        <is>
          <t>Pink Grapefruit Juice</t>
        </is>
      </c>
      <c r="B70" s="18" t="n">
        <v>294</v>
      </c>
      <c r="C70" s="73" t="n">
        <v>0.00188509511715481</v>
      </c>
      <c r="D70" s="73" t="n">
        <v>0.00259694832072842</v>
      </c>
      <c r="E70" s="73" t="n">
        <v>0.0213406888542083</v>
      </c>
      <c r="F70" s="18" t="n">
        <v>0</v>
      </c>
      <c r="G70" s="20" t="n">
        <v>80</v>
      </c>
      <c r="H70" s="18" t="n">
        <v>3.675</v>
      </c>
      <c r="I70">
        <f t="array" ref="I70">IFERROR(INDEX($N$5:$N$271,MATCH(TRUE,EXACT(A70,$O$5:$O$271),)),"")</f>
        <v/>
      </c>
      <c r="J70" s="25">
        <f>IF(I70="","",IF(E70="","",G70))</f>
        <v/>
      </c>
      <c r="K70" s="26" t="n"/>
      <c r="N70" s="28" t="inlineStr">
        <is>
          <t>Dessert</t>
        </is>
      </c>
      <c r="O70" s="29" t="inlineStr">
        <is>
          <t>Afternoon Tea Scones</t>
        </is>
      </c>
    </row>
    <row r="71">
      <c r="A71" s="15" t="inlineStr">
        <is>
          <t>Flat White</t>
        </is>
      </c>
      <c r="B71" s="18" t="n">
        <v>264</v>
      </c>
      <c r="C71" s="73" t="n">
        <v>0.00169273847254718</v>
      </c>
      <c r="D71" s="73" t="n">
        <v>0.00233195359412348</v>
      </c>
      <c r="E71" s="73" t="n">
        <v>0.0191630675425544</v>
      </c>
      <c r="F71" s="18" t="n">
        <v>0</v>
      </c>
      <c r="G71" s="20" t="n">
        <v>49</v>
      </c>
      <c r="H71" s="18" t="n">
        <v>5.38775510204082</v>
      </c>
      <c r="I71">
        <f t="array" ref="I71">IFERROR(INDEX($N$5:$N$271,MATCH(TRUE,EXACT(A71,$O$5:$O$271),)),"")</f>
        <v/>
      </c>
      <c r="J71" s="25">
        <f>IF(I71="","",IF(E71="","",G71))</f>
        <v/>
      </c>
      <c r="K71" s="26" t="n"/>
      <c r="N71" s="28" t="inlineStr">
        <is>
          <t>Dessert</t>
        </is>
      </c>
      <c r="O71" s="29" t="inlineStr">
        <is>
          <t>Large Fruit Plate</t>
        </is>
      </c>
    </row>
    <row r="72">
      <c r="A72" s="15" t="inlineStr">
        <is>
          <t>COR Dragonwell Lung Ching</t>
        </is>
      </c>
      <c r="B72" s="18" t="n">
        <v>259</v>
      </c>
      <c r="C72" s="73" t="n">
        <v>0.00166067903177924</v>
      </c>
      <c r="D72" s="73" t="n">
        <v>0.00228778780635599</v>
      </c>
      <c r="E72" s="73" t="n">
        <v>0.0188001306572787</v>
      </c>
      <c r="F72" s="18" t="n">
        <v>0</v>
      </c>
      <c r="G72" s="20" t="n">
        <v>43</v>
      </c>
      <c r="H72" s="18" t="n">
        <v>6.02325581395349</v>
      </c>
      <c r="I72">
        <f t="array" ref="I72">IFERROR(INDEX($N$5:$N$271,MATCH(TRUE,EXACT(A72,$O$5:$O$271),)),"")</f>
        <v/>
      </c>
      <c r="J72" s="25">
        <f>IF(I72="","",IF(E72="","",G72))</f>
        <v/>
      </c>
      <c r="K72" s="26" t="n"/>
      <c r="N72" s="28" t="inlineStr">
        <is>
          <t>Dessert</t>
        </is>
      </c>
      <c r="O72" s="29" t="inlineStr">
        <is>
          <t>Afternoon Tea Pastry</t>
        </is>
      </c>
    </row>
    <row r="73">
      <c r="A73" s="15" t="inlineStr">
        <is>
          <t>COR Peppermint</t>
        </is>
      </c>
      <c r="B73" s="18" t="n">
        <v>259</v>
      </c>
      <c r="C73" s="73" t="n">
        <v>0.00166067903177924</v>
      </c>
      <c r="D73" s="73" t="n">
        <v>0.00228778780635599</v>
      </c>
      <c r="E73" s="73" t="n">
        <v>0.0188001306572787</v>
      </c>
      <c r="F73" s="18" t="n">
        <v>0</v>
      </c>
      <c r="G73" s="20" t="n">
        <v>44</v>
      </c>
      <c r="H73" s="18" t="n">
        <v>5.88636363636364</v>
      </c>
      <c r="I73">
        <f t="array" ref="I73">IFERROR(INDEX($N$5:$N$271,MATCH(TRUE,EXACT(A73,$O$5:$O$271),)),"")</f>
        <v/>
      </c>
      <c r="J73" s="25">
        <f>IF(I73="","",IF(E73="","",G73))</f>
        <v/>
      </c>
      <c r="K73" s="26" t="n"/>
      <c r="N73" s="28" t="inlineStr">
        <is>
          <t>Dessert</t>
        </is>
      </c>
      <c r="O73" s="29" t="inlineStr">
        <is>
          <t>Baklava</t>
        </is>
      </c>
    </row>
    <row r="74">
      <c r="A74" s="15" t="inlineStr">
        <is>
          <t>Americano</t>
        </is>
      </c>
      <c r="B74" s="18" t="n">
        <v>240.5</v>
      </c>
      <c r="C74" s="73" t="n">
        <v>0.00154205910093787</v>
      </c>
      <c r="D74" s="73" t="n">
        <v>0.00212437439161627</v>
      </c>
      <c r="E74" s="73" t="n">
        <v>0.0174572641817588</v>
      </c>
      <c r="F74" s="18" t="n">
        <v>-13</v>
      </c>
      <c r="G74" s="20" t="n">
        <v>43</v>
      </c>
      <c r="H74" s="18" t="n">
        <v>5.59302325581395</v>
      </c>
      <c r="I74">
        <f t="array" ref="I74">IFERROR(INDEX($N$5:$N$271,MATCH(TRUE,EXACT(A74,$O$5:$O$271),)),"")</f>
        <v/>
      </c>
      <c r="J74" s="25">
        <f>IF(I74="","",IF(E74="","",G74))</f>
        <v/>
      </c>
      <c r="K74" s="26" t="n"/>
      <c r="N74" s="28" t="inlineStr">
        <is>
          <t>Dessert</t>
        </is>
      </c>
      <c r="O74" s="29" t="inlineStr">
        <is>
          <t>Cheesecake</t>
        </is>
      </c>
    </row>
    <row r="75">
      <c r="A75" s="15" t="inlineStr">
        <is>
          <t>Spec Fresh Juice</t>
        </is>
      </c>
      <c r="B75" s="18" t="n">
        <v>240</v>
      </c>
      <c r="C75" s="73" t="n">
        <v>0.00153885315686107</v>
      </c>
      <c r="D75" s="73" t="n">
        <v>0.00211995781283952</v>
      </c>
      <c r="E75" s="73" t="n">
        <v>0.0174209704932312</v>
      </c>
      <c r="F75" s="18" t="n">
        <v>0</v>
      </c>
      <c r="G75" s="20" t="n">
        <v>21</v>
      </c>
      <c r="H75" s="18" t="n">
        <v>11.4285714285714</v>
      </c>
      <c r="I75">
        <f t="array" ref="I75">IFERROR(INDEX($N$5:$N$271,MATCH(TRUE,EXACT(A75,$O$5:$O$271),)),"")</f>
        <v/>
      </c>
      <c r="J75" s="25">
        <f>IF(I75="","",IF(E75="","",G75))</f>
        <v/>
      </c>
      <c r="K75" s="26" t="n"/>
      <c r="N75" s="28" t="inlineStr">
        <is>
          <t>Dessert</t>
        </is>
      </c>
      <c r="O75" s="29" t="inlineStr">
        <is>
          <t>Vegan Brownie</t>
        </is>
      </c>
    </row>
    <row r="76">
      <c r="A76" s="15" t="inlineStr">
        <is>
          <t>Glass of Milk Cold</t>
        </is>
      </c>
      <c r="B76" s="18" t="n">
        <v>150</v>
      </c>
      <c r="C76" s="73" t="n">
        <v>0.000961783223038171</v>
      </c>
      <c r="D76" s="73" t="n">
        <v>0.0013249736330247</v>
      </c>
      <c r="E76" s="73" t="n">
        <v>0.0108881065582695</v>
      </c>
      <c r="F76" s="18" t="n">
        <v>0</v>
      </c>
      <c r="G76" s="20" t="n">
        <v>30</v>
      </c>
      <c r="H76" s="18" t="n">
        <v>5</v>
      </c>
      <c r="I76">
        <f t="array" ref="I76">IFERROR(INDEX($N$5:$N$271,MATCH(TRUE,EXACT(A76,$O$5:$O$271),)),"")</f>
        <v/>
      </c>
      <c r="J76" s="25">
        <f>IF(I76="","",IF(E76="","",G76))</f>
        <v/>
      </c>
      <c r="K76" s="26" t="n"/>
      <c r="N76" s="28" t="inlineStr">
        <is>
          <t>Dessert</t>
        </is>
      </c>
      <c r="O76" s="29" t="inlineStr">
        <is>
          <t>Vegan Eaton Mess</t>
        </is>
      </c>
    </row>
    <row r="77">
      <c r="A77" s="15" t="inlineStr">
        <is>
          <t>COR Camomile</t>
        </is>
      </c>
      <c r="B77" s="18" t="n">
        <v>126</v>
      </c>
      <c r="C77" s="73" t="n">
        <v>0.000807897907352063</v>
      </c>
      <c r="D77" s="73" t="n">
        <v>0.00111297785174075</v>
      </c>
      <c r="E77" s="73" t="n">
        <v>0.00914600950894639</v>
      </c>
      <c r="F77" s="18" t="n">
        <v>0</v>
      </c>
      <c r="G77" s="20" t="n">
        <v>21</v>
      </c>
      <c r="H77" s="18" t="n">
        <v>6</v>
      </c>
      <c r="I77">
        <f t="array" ref="I77">IFERROR(INDEX($N$5:$N$271,MATCH(TRUE,EXACT(A77,$O$5:$O$271),)),"")</f>
        <v/>
      </c>
      <c r="J77" s="25">
        <f>IF(I77="","",IF(E77="","",G77))</f>
        <v/>
      </c>
      <c r="K77" s="26" t="n"/>
      <c r="N77" s="28" t="inlineStr">
        <is>
          <t>Dessert</t>
        </is>
      </c>
      <c r="O77" s="29" t="inlineStr">
        <is>
          <t>Single Scone</t>
        </is>
      </c>
    </row>
    <row r="78">
      <c r="A78" s="15" t="inlineStr">
        <is>
          <t>Green Juice</t>
        </is>
      </c>
      <c r="B78" s="18" t="n">
        <v>126</v>
      </c>
      <c r="C78" s="73" t="n">
        <v>0.000807897907352063</v>
      </c>
      <c r="D78" s="73" t="n">
        <v>0.00111297785174075</v>
      </c>
      <c r="E78" s="73" t="n">
        <v>0.00914600950894639</v>
      </c>
      <c r="F78" s="18" t="n">
        <v>0</v>
      </c>
      <c r="G78" s="20" t="n">
        <v>23</v>
      </c>
      <c r="H78" s="18" t="n">
        <v>5.47826086956522</v>
      </c>
      <c r="I78">
        <f t="array" ref="I78">IFERROR(INDEX($N$5:$N$271,MATCH(TRUE,EXACT(A78,$O$5:$O$271),)),"")</f>
        <v/>
      </c>
      <c r="J78" s="25">
        <f>IF(I78="","",IF(E78="","",G78))</f>
        <v/>
      </c>
      <c r="K78" s="26" t="n"/>
      <c r="N78" s="28" t="inlineStr">
        <is>
          <t>Dessert</t>
        </is>
      </c>
      <c r="O78" s="29" t="inlineStr">
        <is>
          <t>Small Fruit</t>
        </is>
      </c>
    </row>
    <row r="79">
      <c r="A79" s="15" t="inlineStr">
        <is>
          <t>Glass of Milk Warm</t>
        </is>
      </c>
      <c r="B79" s="18" t="n">
        <v>120</v>
      </c>
      <c r="C79" s="73" t="n">
        <v>0.000769426578430537</v>
      </c>
      <c r="D79" s="73" t="n">
        <v>0.00105997890641976</v>
      </c>
      <c r="E79" s="73" t="n">
        <v>0.00871048524661561</v>
      </c>
      <c r="F79" s="18" t="n">
        <v>0</v>
      </c>
      <c r="G79" s="20" t="n">
        <v>24</v>
      </c>
      <c r="H79" s="18" t="n">
        <v>5</v>
      </c>
      <c r="I79">
        <f t="array" ref="I79">IFERROR(INDEX($N$5:$N$271,MATCH(TRUE,EXACT(A79,$O$5:$O$271),)),"")</f>
        <v/>
      </c>
      <c r="J79" s="25">
        <f>IF(I79="","",IF(E79="","",G79))</f>
        <v/>
      </c>
      <c r="K79" s="26" t="n"/>
      <c r="N79" s="28" t="inlineStr">
        <is>
          <t>Dessert</t>
        </is>
      </c>
      <c r="O79" s="29" t="inlineStr">
        <is>
          <t>.</t>
        </is>
      </c>
    </row>
    <row r="80">
      <c r="A80" s="15" t="inlineStr">
        <is>
          <t>Decaf Filter Coffee</t>
        </is>
      </c>
      <c r="B80" s="18" t="n">
        <v>108</v>
      </c>
      <c r="C80" s="73" t="n">
        <v>0.000692483920587483</v>
      </c>
      <c r="D80" s="73" t="n">
        <v>0.000953981015777786</v>
      </c>
      <c r="E80" s="73" t="n">
        <v>0.00783943672195405</v>
      </c>
      <c r="F80" s="18" t="n">
        <v>0</v>
      </c>
      <c r="G80" s="20" t="n">
        <v>20</v>
      </c>
      <c r="H80" s="18" t="n">
        <v>5.4</v>
      </c>
      <c r="I80">
        <f t="array" ref="I80">IFERROR(INDEX($N$5:$N$271,MATCH(TRUE,EXACT(A80,$O$5:$O$271),)),"")</f>
        <v/>
      </c>
      <c r="J80" s="25">
        <f>IF(I80="","",IF(E80="","",G80))</f>
        <v/>
      </c>
      <c r="K80" s="26" t="n"/>
      <c r="N80" s="28" t="inlineStr">
        <is>
          <t>Dessert</t>
        </is>
      </c>
      <c r="O80" s="29" t="inlineStr">
        <is>
          <t>.</t>
        </is>
      </c>
    </row>
    <row r="81">
      <c r="A81" s="15" t="inlineStr">
        <is>
          <t>Carrot Juice</t>
        </is>
      </c>
      <c r="B81" s="18" t="n">
        <v>91</v>
      </c>
      <c r="C81" s="73" t="n">
        <v>0.00058348182197649</v>
      </c>
      <c r="D81" s="73" t="n">
        <v>0.00080381733736832</v>
      </c>
      <c r="E81" s="73" t="n">
        <v>0.00660545131201684</v>
      </c>
      <c r="F81" s="18" t="n">
        <v>0</v>
      </c>
      <c r="G81" s="20" t="n">
        <v>34</v>
      </c>
      <c r="H81" s="18" t="n">
        <v>2.67647058823529</v>
      </c>
      <c r="I81">
        <f t="array" ref="I81">IFERROR(INDEX($N$5:$N$271,MATCH(TRUE,EXACT(A81,$O$5:$O$271),)),"")</f>
        <v/>
      </c>
      <c r="J81" s="25">
        <f>IF(I81="","",IF(E81="","",G81))</f>
        <v/>
      </c>
      <c r="K81" s="26" t="n"/>
      <c r="N81" s="28" t="inlineStr">
        <is>
          <t>Dessert</t>
        </is>
      </c>
      <c r="O81" s="29" t="inlineStr">
        <is>
          <t>.</t>
        </is>
      </c>
    </row>
    <row r="82">
      <c r="A82" s="15" t="inlineStr">
        <is>
          <t>COR Fresh Mint</t>
        </is>
      </c>
      <c r="B82" s="18" t="n">
        <v>91</v>
      </c>
      <c r="C82" s="73" t="n">
        <v>0.00058348182197649</v>
      </c>
      <c r="D82" s="73" t="n">
        <v>0.00080381733736832</v>
      </c>
      <c r="E82" s="73" t="n">
        <v>0.00660545131201684</v>
      </c>
      <c r="F82" s="18" t="n">
        <v>0</v>
      </c>
      <c r="G82" s="20" t="n">
        <v>13</v>
      </c>
      <c r="H82" s="18" t="n">
        <v>7</v>
      </c>
      <c r="I82">
        <f t="array" ref="I82">IFERROR(INDEX($N$5:$N$271,MATCH(TRUE,EXACT(A82,$O$5:$O$271),)),"")</f>
        <v/>
      </c>
      <c r="J82" s="25">
        <f>IF(I82="","",IF(E82="","",G82))</f>
        <v/>
      </c>
      <c r="K82" s="26" t="n"/>
      <c r="N82" s="28" t="inlineStr">
        <is>
          <t>Dessert</t>
        </is>
      </c>
      <c r="O82" s="29" t="inlineStr">
        <is>
          <t>.</t>
        </is>
      </c>
    </row>
    <row r="83">
      <c r="A83" s="15" t="inlineStr">
        <is>
          <t>COR Fresh Lemon &amp; Ginger</t>
        </is>
      </c>
      <c r="B83" s="18" t="n">
        <v>90</v>
      </c>
      <c r="C83" s="73" t="n">
        <v>0.000577069933822902</v>
      </c>
      <c r="D83" s="73" t="n">
        <v>0.000794984179814822</v>
      </c>
      <c r="E83" s="73" t="n">
        <v>0.00653286393496171</v>
      </c>
      <c r="F83" s="18" t="n">
        <v>0</v>
      </c>
      <c r="G83" s="20" t="n">
        <v>15</v>
      </c>
      <c r="H83" s="18" t="n">
        <v>6</v>
      </c>
      <c r="I83">
        <f t="array" ref="I83">IFERROR(INDEX($N$5:$N$271,MATCH(TRUE,EXACT(A83,$O$5:$O$271),)),"")</f>
        <v/>
      </c>
      <c r="J83" s="25">
        <f>IF(I83="","",IF(E83="","",G83))</f>
        <v/>
      </c>
      <c r="K83" s="26" t="n"/>
      <c r="N83" s="28" t="inlineStr">
        <is>
          <t>Dessert</t>
        </is>
      </c>
      <c r="O83" s="29" t="inlineStr">
        <is>
          <t>.</t>
        </is>
      </c>
    </row>
    <row r="84">
      <c r="A84" s="15" t="inlineStr">
        <is>
          <t>Cranberry Juice</t>
        </is>
      </c>
      <c r="B84" s="18" t="n">
        <v>77</v>
      </c>
      <c r="C84" s="73" t="n">
        <v>0.0004937153878262611</v>
      </c>
      <c r="D84" s="73" t="n">
        <v>0.000680153131619347</v>
      </c>
      <c r="E84" s="73" t="n">
        <v>0.00558922803324502</v>
      </c>
      <c r="F84" s="18" t="n">
        <v>0</v>
      </c>
      <c r="G84" s="20" t="n">
        <v>11</v>
      </c>
      <c r="H84" s="18" t="n">
        <v>7</v>
      </c>
      <c r="I84">
        <f t="array" ref="I84">IFERROR(INDEX($N$5:$N$271,MATCH(TRUE,EXACT(A84,$O$5:$O$271),)),"")</f>
        <v/>
      </c>
      <c r="J84" s="25">
        <f>IF(I84="","",IF(E84="","",G84))</f>
        <v/>
      </c>
      <c r="K84" s="26" t="n"/>
      <c r="N84" s="28" t="inlineStr">
        <is>
          <t>Dessert</t>
        </is>
      </c>
      <c r="O84" s="29" t="inlineStr">
        <is>
          <t>.</t>
        </is>
      </c>
    </row>
    <row r="85">
      <c r="A85" s="15" t="inlineStr">
        <is>
          <t>Protein Shake</t>
        </is>
      </c>
      <c r="B85" s="18" t="n">
        <v>70</v>
      </c>
      <c r="C85" s="73" t="n">
        <v>0.000448832170751146</v>
      </c>
      <c r="D85" s="73" t="n">
        <v>0.000618321028744861</v>
      </c>
      <c r="E85" s="73" t="n">
        <v>0.00508111639385911</v>
      </c>
      <c r="F85" s="18" t="n">
        <v>0</v>
      </c>
      <c r="G85" s="20" t="n">
        <v>5</v>
      </c>
      <c r="H85" s="18" t="n">
        <v>14</v>
      </c>
      <c r="I85">
        <f t="array" ref="I85">IFERROR(INDEX($N$5:$N$271,MATCH(TRUE,EXACT(A85,$O$5:$O$271),)),"")</f>
        <v/>
      </c>
      <c r="J85" s="25">
        <f>IF(I85="","",IF(E85="","",G85))</f>
        <v/>
      </c>
      <c r="K85" s="26" t="n"/>
      <c r="N85" s="28" t="inlineStr">
        <is>
          <t>Dessert</t>
        </is>
      </c>
      <c r="O85" s="29" t="inlineStr">
        <is>
          <t>.</t>
        </is>
      </c>
    </row>
    <row r="86">
      <c r="A86" s="15" t="inlineStr">
        <is>
          <t>Double Espresso</t>
        </is>
      </c>
      <c r="B86" s="18" t="n">
        <v>65</v>
      </c>
      <c r="C86" s="73" t="n">
        <v>0.000416772729983207</v>
      </c>
      <c r="D86" s="73" t="n">
        <v>0.000574155240977371</v>
      </c>
      <c r="E86" s="73" t="n">
        <v>0.00471817950858346</v>
      </c>
      <c r="F86" s="18" t="n">
        <v>0</v>
      </c>
      <c r="G86" s="20" t="n">
        <v>11</v>
      </c>
      <c r="H86" s="18" t="n">
        <v>5.90909090909091</v>
      </c>
      <c r="I86">
        <f t="array" ref="I86">IFERROR(INDEX($N$5:$N$271,MATCH(TRUE,EXACT(A86,$O$5:$O$271),)),"")</f>
        <v/>
      </c>
      <c r="J86" s="25">
        <f>IF(I86="","",IF(E86="","",G86))</f>
        <v/>
      </c>
      <c r="K86" s="26" t="n"/>
      <c r="N86" s="28" t="inlineStr">
        <is>
          <t>Dessert</t>
        </is>
      </c>
      <c r="O86" s="29" t="inlineStr">
        <is>
          <t>.</t>
        </is>
      </c>
    </row>
    <row r="87">
      <c r="A87" s="15" t="inlineStr">
        <is>
          <t>Pineapple Juice</t>
        </is>
      </c>
      <c r="B87" s="18" t="n">
        <v>63</v>
      </c>
      <c r="C87" s="73" t="n">
        <v>0.000403948953676032</v>
      </c>
      <c r="D87" s="73" t="n">
        <v>0.000556488925870375</v>
      </c>
      <c r="E87" s="73" t="n">
        <v>0.0045730047544732</v>
      </c>
      <c r="F87" s="18" t="n">
        <v>-7</v>
      </c>
      <c r="G87" s="20" t="n">
        <v>17</v>
      </c>
      <c r="H87" s="18" t="n">
        <v>3.70588235294118</v>
      </c>
      <c r="I87">
        <f t="array" ref="I87">IFERROR(INDEX($N$5:$N$271,MATCH(TRUE,EXACT(A87,$O$5:$O$271),)),"")</f>
        <v/>
      </c>
      <c r="J87" s="25">
        <f>IF(I87="","",IF(E87="","",G87))</f>
        <v/>
      </c>
      <c r="K87" s="26" t="n"/>
      <c r="N87" s="28" t="inlineStr">
        <is>
          <t>Dessert</t>
        </is>
      </c>
      <c r="O87" s="29" t="inlineStr">
        <is>
          <t>.</t>
        </is>
      </c>
    </row>
    <row r="88">
      <c r="A88" s="15" t="inlineStr">
        <is>
          <t>Iced Coffee</t>
        </is>
      </c>
      <c r="B88" s="18" t="n">
        <v>60</v>
      </c>
      <c r="C88" s="73" t="n">
        <v>0.000384713289215268</v>
      </c>
      <c r="D88" s="73" t="n">
        <v>0.000529989453209881</v>
      </c>
      <c r="E88" s="73" t="n">
        <v>0.00435524262330781</v>
      </c>
      <c r="F88" s="18" t="n">
        <v>0</v>
      </c>
      <c r="G88" s="20" t="n">
        <v>10</v>
      </c>
      <c r="H88" s="18" t="n">
        <v>6</v>
      </c>
      <c r="I88">
        <f t="array" ref="I88">IFERROR(INDEX($N$5:$N$271,MATCH(TRUE,EXACT(A88,$O$5:$O$271),)),"")</f>
        <v/>
      </c>
      <c r="J88" s="25">
        <f>IF(I88="","",IF(E88="","",G88))</f>
        <v/>
      </c>
      <c r="K88" s="26" t="n"/>
      <c r="N88" s="28" t="inlineStr">
        <is>
          <t>Dessert</t>
        </is>
      </c>
      <c r="O88" s="29" t="inlineStr">
        <is>
          <t>.</t>
        </is>
      </c>
    </row>
    <row r="89">
      <c r="A89" s="15" t="inlineStr">
        <is>
          <t>Decaf Cafe Latte</t>
        </is>
      </c>
      <c r="B89" s="18" t="n">
        <v>48</v>
      </c>
      <c r="C89" s="73" t="n">
        <v>0.000307770631372215</v>
      </c>
      <c r="D89" s="73" t="n">
        <v>0.000423991562567905</v>
      </c>
      <c r="E89" s="73" t="n">
        <v>0.00348419409864625</v>
      </c>
      <c r="F89" s="18" t="n">
        <v>0</v>
      </c>
      <c r="G89" s="20" t="n">
        <v>9</v>
      </c>
      <c r="H89" s="18" t="n">
        <v>5.33333333333333</v>
      </c>
      <c r="I89">
        <f t="array" ref="I89">IFERROR(INDEX($N$5:$N$271,MATCH(TRUE,EXACT(A89,$O$5:$O$271),)),"")</f>
        <v/>
      </c>
      <c r="J89" s="25">
        <f>IF(I89="","",IF(E89="","",G89))</f>
        <v/>
      </c>
      <c r="K89" s="26" t="n"/>
      <c r="N89" s="28" t="inlineStr">
        <is>
          <t>Dessert</t>
        </is>
      </c>
      <c r="O89" s="29" t="inlineStr">
        <is>
          <t>.</t>
        </is>
      </c>
    </row>
    <row r="90" ht="14.75" customHeight="1">
      <c r="A90" s="15" t="inlineStr">
        <is>
          <t>COR Jasmine Pearls</t>
        </is>
      </c>
      <c r="B90" s="18" t="n">
        <v>42</v>
      </c>
      <c r="C90" s="73" t="n">
        <v>0.000269299302450688</v>
      </c>
      <c r="D90" s="73" t="n">
        <v>0.000370992617246917</v>
      </c>
      <c r="E90" s="73" t="n">
        <v>0.00304866983631546</v>
      </c>
      <c r="F90" s="18" t="n">
        <v>0</v>
      </c>
      <c r="G90" s="20" t="n">
        <v>6</v>
      </c>
      <c r="H90" s="18" t="n">
        <v>7</v>
      </c>
      <c r="I90">
        <f t="array" ref="I90">IFERROR(INDEX($N$5:$N$271,MATCH(TRUE,EXACT(A90,$O$5:$O$271),)),"")</f>
        <v/>
      </c>
      <c r="J90" s="25">
        <f>IF(I90="","",IF(E90="","",G90))</f>
        <v/>
      </c>
      <c r="K90" s="26" t="n"/>
      <c r="N90" s="28" t="inlineStr">
        <is>
          <t>Dessert</t>
        </is>
      </c>
      <c r="O90" s="29" t="inlineStr">
        <is>
          <t>.</t>
        </is>
      </c>
    </row>
    <row r="91" ht="14.75" customHeight="1">
      <c r="A91" s="15" t="inlineStr">
        <is>
          <t>Espresso</t>
        </is>
      </c>
      <c r="B91" s="18" t="n">
        <v>40.5</v>
      </c>
      <c r="C91" s="73" t="n">
        <v>0.000259681470220306</v>
      </c>
      <c r="D91" s="73" t="n">
        <v>0.00035774288091667</v>
      </c>
      <c r="E91" s="73" t="n">
        <v>0.00293978877073277</v>
      </c>
      <c r="F91" s="18" t="n">
        <v>0</v>
      </c>
      <c r="G91" s="20" t="n">
        <v>18</v>
      </c>
      <c r="H91" s="18" t="n">
        <v>2.25</v>
      </c>
      <c r="I91">
        <f t="array" ref="I91">IFERROR(INDEX($N$5:$N$271,MATCH(TRUE,EXACT(A91,$O$5:$O$271),)),"")</f>
        <v/>
      </c>
      <c r="J91" s="25">
        <f>IF(I91="","",IF(E91="","",G91))</f>
        <v/>
      </c>
      <c r="K91" s="26" t="n"/>
      <c r="N91" s="30" t="inlineStr">
        <is>
          <t>Sandwich</t>
        </is>
      </c>
      <c r="O91" s="29" t="inlineStr">
        <is>
          <t>SUM Club Sandwich</t>
        </is>
      </c>
    </row>
    <row r="92">
      <c r="A92" s="15" t="inlineStr">
        <is>
          <t>COR Ice Tea</t>
        </is>
      </c>
      <c r="B92" s="18" t="n">
        <v>36</v>
      </c>
      <c r="C92" s="73" t="n">
        <v>0.000230827973529161</v>
      </c>
      <c r="D92" s="73" t="n">
        <v>0.000317993671925929</v>
      </c>
      <c r="E92" s="73" t="n">
        <v>0.00261314557398468</v>
      </c>
      <c r="F92" s="18" t="n">
        <v>0</v>
      </c>
      <c r="G92" s="20" t="n">
        <v>6</v>
      </c>
      <c r="H92" s="18" t="n">
        <v>6</v>
      </c>
      <c r="I92">
        <f t="array" ref="I92">IFERROR(INDEX($N$5:$N$271,MATCH(TRUE,EXACT(A92,$O$5:$O$271),)),"")</f>
        <v/>
      </c>
      <c r="J92" s="25">
        <f>IF(I92="","",IF(E92="","",G92))</f>
        <v/>
      </c>
      <c r="K92" s="26" t="n"/>
      <c r="N92" s="28" t="inlineStr">
        <is>
          <t>Sandwich</t>
        </is>
      </c>
      <c r="O92" s="29" t="inlineStr">
        <is>
          <t>Lobster &amp; Crab Roll</t>
        </is>
      </c>
    </row>
    <row r="93">
      <c r="A93" s="15" t="inlineStr">
        <is>
          <t>Tomato Juice</t>
        </is>
      </c>
      <c r="B93" s="18" t="n">
        <v>35</v>
      </c>
      <c r="C93" s="73" t="n">
        <v>0.000224416085375573</v>
      </c>
      <c r="D93" s="73" t="n">
        <v>0.000309160514372431</v>
      </c>
      <c r="E93" s="73" t="n">
        <v>0.00254055819692955</v>
      </c>
      <c r="F93" s="18" t="n">
        <v>0</v>
      </c>
      <c r="G93" s="20" t="n">
        <v>5</v>
      </c>
      <c r="H93" s="18" t="n">
        <v>7</v>
      </c>
      <c r="I93">
        <f t="array" ref="I93">IFERROR(INDEX($N$5:$N$271,MATCH(TRUE,EXACT(A93,$O$5:$O$271),)),"")</f>
        <v/>
      </c>
      <c r="J93" s="25">
        <f>IF(I93="","",IF(E93="","",G93))</f>
        <v/>
      </c>
      <c r="K93" s="26" t="n"/>
      <c r="N93" s="28" t="inlineStr">
        <is>
          <t>Sandwich</t>
        </is>
      </c>
      <c r="O93" s="29" t="inlineStr">
        <is>
          <t>Ham &amp; Cheese</t>
        </is>
      </c>
    </row>
    <row r="94">
      <c r="A94" s="15" t="inlineStr">
        <is>
          <t>Press Garden 2</t>
        </is>
      </c>
      <c r="B94" s="18" t="n">
        <v>27</v>
      </c>
      <c r="C94" s="73" t="n">
        <v>0.000173120980146871</v>
      </c>
      <c r="D94" s="73" t="n">
        <v>0.000238495253944446</v>
      </c>
      <c r="E94" s="73" t="n">
        <v>0.00195985918048851</v>
      </c>
      <c r="F94" s="18" t="n">
        <v>0</v>
      </c>
      <c r="G94" s="20" t="n">
        <v>3</v>
      </c>
      <c r="H94" s="18" t="n">
        <v>9</v>
      </c>
      <c r="I94">
        <f t="array" ref="I94">IFERROR(INDEX($N$5:$N$271,MATCH(TRUE,EXACT(A94,$O$5:$O$271),)),"")</f>
        <v/>
      </c>
      <c r="J94" s="25">
        <f>IF(I94="","",IF(E94="","",G94))</f>
        <v/>
      </c>
      <c r="K94" s="26" t="n"/>
      <c r="N94" s="28" t="inlineStr">
        <is>
          <t>Sandwich</t>
        </is>
      </c>
      <c r="O94" s="29" t="inlineStr">
        <is>
          <t>Salmon &amp; Caviar</t>
        </is>
      </c>
    </row>
    <row r="95">
      <c r="A95" s="15" t="inlineStr">
        <is>
          <t>COR Decaf Ceylon</t>
        </is>
      </c>
      <c r="B95" s="18" t="n">
        <v>26</v>
      </c>
      <c r="C95" s="73" t="n">
        <v>0.000166709091993283</v>
      </c>
      <c r="D95" s="73" t="n">
        <v>0.000229662096390948</v>
      </c>
      <c r="E95" s="73" t="n">
        <v>0.00188727180343338</v>
      </c>
      <c r="F95" s="18" t="n">
        <v>0</v>
      </c>
      <c r="G95" s="20" t="n">
        <v>5</v>
      </c>
      <c r="H95" s="18" t="n">
        <v>5.2</v>
      </c>
      <c r="I95">
        <f t="array" ref="I95">IFERROR(INDEX($N$5:$N$271,MATCH(TRUE,EXACT(A95,$O$5:$O$271),)),"")</f>
        <v/>
      </c>
      <c r="J95" s="25">
        <f>IF(I95="","",IF(E95="","",G95))</f>
        <v/>
      </c>
      <c r="K95" s="26" t="n"/>
      <c r="N95" s="28" t="inlineStr">
        <is>
          <t>Sandwich</t>
        </is>
      </c>
      <c r="O95" s="29" t="inlineStr">
        <is>
          <t>Finger Sandwich</t>
        </is>
      </c>
    </row>
    <row r="96">
      <c r="A96" s="15" t="inlineStr">
        <is>
          <t>Mocha</t>
        </is>
      </c>
      <c r="B96" s="18" t="n">
        <v>26</v>
      </c>
      <c r="C96" s="73" t="n">
        <v>0.000166709091993283</v>
      </c>
      <c r="D96" s="73" t="n">
        <v>0.000229662096390948</v>
      </c>
      <c r="E96" s="73" t="n">
        <v>0.00188727180343338</v>
      </c>
      <c r="F96" s="18" t="n">
        <v>0</v>
      </c>
      <c r="G96" s="20" t="n">
        <v>4</v>
      </c>
      <c r="H96" s="18" t="n">
        <v>6.5</v>
      </c>
      <c r="I96">
        <f t="array" ref="I96">IFERROR(INDEX($N$5:$N$271,MATCH(TRUE,EXACT(A96,$O$5:$O$271),)),"")</f>
        <v/>
      </c>
      <c r="J96" s="25">
        <f>IF(I96="","",IF(E96="","",G96))</f>
        <v/>
      </c>
      <c r="K96" s="26" t="n"/>
      <c r="N96" s="28" t="inlineStr">
        <is>
          <t>Sandwich</t>
        </is>
      </c>
      <c r="O96" s="29" t="inlineStr">
        <is>
          <t>Toasted Sandwich</t>
        </is>
      </c>
    </row>
    <row r="97">
      <c r="A97" s="15" t="inlineStr">
        <is>
          <t>Macchiato</t>
        </is>
      </c>
      <c r="B97" s="18" t="n">
        <v>22.5</v>
      </c>
      <c r="C97" s="73" t="n">
        <v>0.000144267483455726</v>
      </c>
      <c r="D97" s="73" t="n">
        <v>0.000198746044953705</v>
      </c>
      <c r="E97" s="73" t="n">
        <v>0.00163321598374043</v>
      </c>
      <c r="F97" s="18" t="n">
        <v>0</v>
      </c>
      <c r="G97" s="20" t="n">
        <v>5</v>
      </c>
      <c r="H97" s="18" t="n">
        <v>4.5</v>
      </c>
      <c r="I97">
        <f t="array" ref="I97">IFERROR(INDEX($N$5:$N$271,MATCH(TRUE,EXACT(A97,$O$5:$O$271),)),"")</f>
        <v/>
      </c>
      <c r="J97" s="25">
        <f>IF(I97="","",IF(E97="","",G97))</f>
        <v/>
      </c>
      <c r="K97" s="26" t="n"/>
      <c r="N97" s="28" t="inlineStr">
        <is>
          <t>Sandwich</t>
        </is>
      </c>
      <c r="O97" s="29" t="inlineStr">
        <is>
          <t>.</t>
        </is>
      </c>
    </row>
    <row r="98">
      <c r="A98" s="15" t="inlineStr">
        <is>
          <t>Mixed Juices</t>
        </is>
      </c>
      <c r="B98" s="18" t="n">
        <v>21</v>
      </c>
      <c r="C98" s="73" t="n">
        <v>0.000134649651225344</v>
      </c>
      <c r="D98" s="73" t="n">
        <v>0.000185496308623458</v>
      </c>
      <c r="E98" s="73" t="n">
        <v>0.00152433491815773</v>
      </c>
      <c r="F98" s="18" t="n">
        <v>0</v>
      </c>
      <c r="G98" s="20" t="n">
        <v>9</v>
      </c>
      <c r="H98" s="18" t="n">
        <v>2.33333333333333</v>
      </c>
      <c r="I98">
        <f t="array" ref="I98">IFERROR(INDEX($N$5:$N$271,MATCH(TRUE,EXACT(A98,$O$5:$O$271),)),"")</f>
        <v/>
      </c>
      <c r="J98" s="25">
        <f>IF(I98="","",IF(E98="","",G98))</f>
        <v/>
      </c>
      <c r="K98" s="26" t="n"/>
      <c r="N98" s="28" t="inlineStr">
        <is>
          <t>Sandwich</t>
        </is>
      </c>
      <c r="O98" s="29" t="inlineStr">
        <is>
          <t>.</t>
        </is>
      </c>
    </row>
    <row r="99">
      <c r="A99" s="15" t="inlineStr">
        <is>
          <t>Decaf Cappucino</t>
        </is>
      </c>
      <c r="B99" s="18" t="n">
        <v>18</v>
      </c>
      <c r="C99" s="73" t="n">
        <v>0.00011541398676458</v>
      </c>
      <c r="D99" s="73" t="n">
        <v>0.000158996835962964</v>
      </c>
      <c r="E99" s="73" t="n">
        <v>0.00130657278699234</v>
      </c>
      <c r="F99" s="18" t="n">
        <v>0</v>
      </c>
      <c r="G99" s="20" t="n">
        <v>3</v>
      </c>
      <c r="H99" s="18" t="n">
        <v>6</v>
      </c>
      <c r="I99">
        <f t="array" ref="I99">IFERROR(INDEX($N$5:$N$271,MATCH(TRUE,EXACT(A99,$O$5:$O$271),)),"")</f>
        <v/>
      </c>
      <c r="J99" s="25">
        <f>IF(I99="","",IF(E99="","",G99))</f>
        <v/>
      </c>
      <c r="K99" s="26" t="n"/>
      <c r="N99" s="28" t="inlineStr">
        <is>
          <t>Sandwich</t>
        </is>
      </c>
      <c r="O99" s="29" t="inlineStr">
        <is>
          <t>.</t>
        </is>
      </c>
    </row>
    <row r="100">
      <c r="A100" s="15" t="inlineStr">
        <is>
          <t>COR China Oolong</t>
        </is>
      </c>
      <c r="B100" s="18" t="n">
        <v>13</v>
      </c>
      <c r="C100" s="73" t="n">
        <v>8.33545459966415e-05</v>
      </c>
      <c r="D100" s="73" t="n">
        <v>0.000114831048195474</v>
      </c>
      <c r="E100" s="73" t="n">
        <v>0.0009436359017166921</v>
      </c>
      <c r="F100" s="18" t="n">
        <v>0</v>
      </c>
      <c r="G100" s="20" t="n">
        <v>6</v>
      </c>
      <c r="H100" s="18" t="n">
        <v>2.16666666666667</v>
      </c>
      <c r="I100">
        <f t="array" ref="I100">IFERROR(INDEX($N$5:$N$271,MATCH(TRUE,EXACT(A100,$O$5:$O$271),)),"")</f>
        <v/>
      </c>
      <c r="J100" s="25">
        <f>IF(I100="","",IF(E100="","",G100))</f>
        <v/>
      </c>
      <c r="K100" s="26" t="n"/>
      <c r="N100" s="28" t="inlineStr">
        <is>
          <t>Sandwich</t>
        </is>
      </c>
      <c r="O100" s="29" t="inlineStr">
        <is>
          <t>.</t>
        </is>
      </c>
    </row>
    <row r="101">
      <c r="A101" s="15" t="inlineStr">
        <is>
          <t>COR Darjeeling Goomtee</t>
        </is>
      </c>
      <c r="B101" s="18" t="n">
        <v>13</v>
      </c>
      <c r="C101" s="73" t="n">
        <v>8.33545459966415e-05</v>
      </c>
      <c r="D101" s="73" t="n">
        <v>0.000114831048195474</v>
      </c>
      <c r="E101" s="73" t="n">
        <v>0.0009436359017166921</v>
      </c>
      <c r="F101" s="18" t="n">
        <v>0</v>
      </c>
      <c r="G101" s="20" t="n">
        <v>3</v>
      </c>
      <c r="H101" s="18" t="n">
        <v>4.33333333333333</v>
      </c>
      <c r="I101">
        <f t="array" ref="I101">IFERROR(INDEX($N$5:$N$271,MATCH(TRUE,EXACT(A101,$O$5:$O$271),)),"")</f>
        <v/>
      </c>
      <c r="J101" s="25">
        <f>IF(I101="","",IF(E101="","",G101))</f>
        <v/>
      </c>
      <c r="K101" s="26" t="n"/>
      <c r="N101" s="28" t="inlineStr">
        <is>
          <t>Sandwich</t>
        </is>
      </c>
      <c r="O101" s="29" t="inlineStr">
        <is>
          <t>.</t>
        </is>
      </c>
    </row>
    <row r="102">
      <c r="A102" s="15" t="inlineStr">
        <is>
          <t>COR Yunnan Green</t>
        </is>
      </c>
      <c r="B102" s="18" t="n">
        <v>13</v>
      </c>
      <c r="C102" s="73" t="n">
        <v>8.33545459966415e-05</v>
      </c>
      <c r="D102" s="73" t="n">
        <v>0.000114831048195474</v>
      </c>
      <c r="E102" s="73" t="n">
        <v>0.0009436359017166921</v>
      </c>
      <c r="F102" s="18" t="n">
        <v>0</v>
      </c>
      <c r="G102" s="20" t="n">
        <v>2</v>
      </c>
      <c r="H102" s="18" t="n">
        <v>6.5</v>
      </c>
      <c r="I102">
        <f t="array" ref="I102">IFERROR(INDEX($N$5:$N$271,MATCH(TRUE,EXACT(A102,$O$5:$O$271),)),"")</f>
        <v/>
      </c>
      <c r="J102" s="25">
        <f>IF(I102="","",IF(E102="","",G102))</f>
        <v/>
      </c>
      <c r="K102" s="26" t="n"/>
      <c r="N102" s="28" t="inlineStr">
        <is>
          <t>Sandwich</t>
        </is>
      </c>
      <c r="O102" s="29" t="inlineStr">
        <is>
          <t>.</t>
        </is>
      </c>
    </row>
    <row r="103">
      <c r="A103" s="15" t="inlineStr">
        <is>
          <t>Macchiato Double</t>
        </is>
      </c>
      <c r="B103" s="18" t="n">
        <v>12</v>
      </c>
      <c r="C103" s="73" t="n">
        <v>7.69426578430537e-05</v>
      </c>
      <c r="D103" s="73" t="n">
        <v>0.000105997890641976</v>
      </c>
      <c r="E103" s="73" t="n">
        <v>0.000871048524661561</v>
      </c>
      <c r="F103" s="18" t="n">
        <v>0</v>
      </c>
      <c r="G103" s="20" t="n">
        <v>2</v>
      </c>
      <c r="H103" s="18" t="n">
        <v>6</v>
      </c>
      <c r="I103">
        <f t="array" ref="I103">IFERROR(INDEX($N$5:$N$271,MATCH(TRUE,EXACT(A103,$O$5:$O$271),)),"")</f>
        <v/>
      </c>
      <c r="J103" s="25">
        <f>IF(I103="","",IF(E103="","",G103))</f>
        <v/>
      </c>
      <c r="K103" s="26" t="n"/>
      <c r="N103" s="28" t="inlineStr">
        <is>
          <t>Sandwich</t>
        </is>
      </c>
      <c r="O103" s="29" t="inlineStr">
        <is>
          <t>.</t>
        </is>
      </c>
    </row>
    <row r="104">
      <c r="A104" s="15" t="inlineStr">
        <is>
          <t>COR Ginger Tea</t>
        </is>
      </c>
      <c r="B104" s="18" t="n">
        <v>11</v>
      </c>
      <c r="C104" s="73" t="n">
        <v>7.053076968946589e-05</v>
      </c>
      <c r="D104" s="73" t="n">
        <v>9.716473308847819e-05</v>
      </c>
      <c r="E104" s="73" t="n">
        <v>0.000798461147606431</v>
      </c>
      <c r="F104" s="18" t="n">
        <v>0</v>
      </c>
      <c r="G104" s="20" t="n">
        <v>2</v>
      </c>
      <c r="H104" s="18" t="n">
        <v>5.5</v>
      </c>
      <c r="I104">
        <f t="array" ref="I104">IFERROR(INDEX($N$5:$N$271,MATCH(TRUE,EXACT(A104,$O$5:$O$271),)),"")</f>
        <v/>
      </c>
      <c r="J104" s="25">
        <f>IF(I104="","",IF(E104="","",G104))</f>
        <v/>
      </c>
      <c r="K104" s="26" t="n"/>
      <c r="N104" s="28" t="inlineStr">
        <is>
          <t>Sandwich</t>
        </is>
      </c>
      <c r="O104" s="29" t="inlineStr">
        <is>
          <t>.</t>
        </is>
      </c>
    </row>
    <row r="105">
      <c r="A105" s="15" t="inlineStr">
        <is>
          <t>COR Very Berry</t>
        </is>
      </c>
      <c r="B105" s="18" t="n">
        <v>7</v>
      </c>
      <c r="C105" s="73" t="n">
        <v>4.48832170751146e-05</v>
      </c>
      <c r="D105" s="73" t="n">
        <v>6.18321028744861e-05</v>
      </c>
      <c r="E105" s="73" t="n">
        <v>0.000508111639385911</v>
      </c>
      <c r="F105" s="18" t="n">
        <v>0</v>
      </c>
      <c r="G105" s="20" t="n">
        <v>1</v>
      </c>
      <c r="H105" s="18" t="n">
        <v>7</v>
      </c>
      <c r="I105">
        <f t="array" ref="I105">IFERROR(INDEX($N$5:$N$271,MATCH(TRUE,EXACT(A105,$O$5:$O$271),)),"")</f>
        <v/>
      </c>
      <c r="J105" s="25">
        <f>IF(I105="","",IF(E105="","",G105))</f>
        <v/>
      </c>
      <c r="K105" s="26" t="n"/>
      <c r="N105" s="28" t="inlineStr">
        <is>
          <t>Sandwich</t>
        </is>
      </c>
      <c r="O105" s="29" t="inlineStr">
        <is>
          <t>.</t>
        </is>
      </c>
    </row>
    <row r="106">
      <c r="A106" s="15" t="inlineStr">
        <is>
          <t>COR Assam Tea</t>
        </is>
      </c>
      <c r="B106" s="18" t="n">
        <v>6.5</v>
      </c>
      <c r="C106" s="73" t="n">
        <v>4.16772729983207e-05</v>
      </c>
      <c r="D106" s="73" t="n">
        <v>5.74155240977371e-05</v>
      </c>
      <c r="E106" s="73" t="n">
        <v>0.000471817950858346</v>
      </c>
      <c r="F106" s="18" t="n">
        <v>0</v>
      </c>
      <c r="G106" s="20" t="n">
        <v>3</v>
      </c>
      <c r="H106" s="18" t="n">
        <v>2.16666666666667</v>
      </c>
      <c r="I106">
        <f t="array" ref="I106">IFERROR(INDEX($N$5:$N$271,MATCH(TRUE,EXACT(A106,$O$5:$O$271),)),"")</f>
        <v/>
      </c>
      <c r="J106" s="25">
        <f>IF(I106="","",IF(E106="","",G106))</f>
        <v/>
      </c>
      <c r="K106" s="26" t="n"/>
      <c r="N106" s="28" t="inlineStr">
        <is>
          <t>Sandwich</t>
        </is>
      </c>
      <c r="O106" s="29" t="inlineStr">
        <is>
          <t>.</t>
        </is>
      </c>
    </row>
    <row r="107">
      <c r="A107" s="15" t="inlineStr">
        <is>
          <t>Barley Coffee</t>
        </is>
      </c>
      <c r="B107" s="18" t="n">
        <v>6</v>
      </c>
      <c r="C107" s="73" t="n">
        <v>3.84713289215268e-05</v>
      </c>
      <c r="D107" s="73" t="n">
        <v>5.29989453209881e-05</v>
      </c>
      <c r="E107" s="73" t="n">
        <v>0.000435524262330781</v>
      </c>
      <c r="F107" s="18" t="n">
        <v>0</v>
      </c>
      <c r="G107" s="20" t="n">
        <v>1</v>
      </c>
      <c r="H107" s="18" t="n">
        <v>6</v>
      </c>
      <c r="I107">
        <f t="array" ref="I107">IFERROR(INDEX($N$5:$N$271,MATCH(TRUE,EXACT(A107,$O$5:$O$271),)),"")</f>
        <v/>
      </c>
      <c r="J107" s="25">
        <f>IF(I107="","",IF(E107="","",G107))</f>
        <v/>
      </c>
      <c r="K107" s="26" t="n"/>
      <c r="N107" s="28" t="inlineStr">
        <is>
          <t>Sandwich</t>
        </is>
      </c>
      <c r="O107" s="29" t="inlineStr">
        <is>
          <t>.</t>
        </is>
      </c>
    </row>
    <row r="108">
      <c r="A108" s="15" t="inlineStr">
        <is>
          <t>Pomegran  Juice</t>
        </is>
      </c>
      <c r="B108" s="18" t="n">
        <v>0</v>
      </c>
      <c r="C108" s="73" t="n">
        <v>0</v>
      </c>
      <c r="D108" s="73" t="n">
        <v>0</v>
      </c>
      <c r="E108" s="73" t="n">
        <v>0</v>
      </c>
      <c r="F108" s="18" t="n">
        <v>0</v>
      </c>
      <c r="G108" s="20" t="n">
        <v>1</v>
      </c>
      <c r="H108" s="18" t="n">
        <v>0</v>
      </c>
      <c r="I108">
        <f t="array" ref="I108">IFERROR(INDEX($N$5:$N$271,MATCH(TRUE,EXACT(A108,$O$5:$O$271),)),"")</f>
        <v/>
      </c>
      <c r="J108" s="25">
        <f>IF(I108="","",IF(E108="","",G108))</f>
        <v/>
      </c>
      <c r="K108" s="26" t="n"/>
      <c r="N108" s="28" t="inlineStr">
        <is>
          <t>Sandwich</t>
        </is>
      </c>
      <c r="O108" s="29" t="inlineStr">
        <is>
          <t>.</t>
        </is>
      </c>
    </row>
    <row r="109">
      <c r="A109" s="17" t="inlineStr">
        <is>
          <t>Sandwich Burgers</t>
        </is>
      </c>
      <c r="B109" s="13" t="n">
        <v>7082.5</v>
      </c>
      <c r="C109" s="70" t="n">
        <v>0.0454121978477856</v>
      </c>
      <c r="D109" s="70" t="n">
        <v>0.0625608383726497</v>
      </c>
      <c r="E109" s="15" t="inlineStr"/>
      <c r="F109" s="13" t="n">
        <v>-2.5</v>
      </c>
      <c r="G109" s="16" t="n">
        <v>296</v>
      </c>
      <c r="H109" s="13" t="n">
        <v>23.9273648648649</v>
      </c>
      <c r="I109">
        <f t="array" ref="I109">IFERROR(INDEX($N$5:$N$271,MATCH(TRUE,EXACT(A109,$O$5:$O$271),)),"")</f>
        <v/>
      </c>
      <c r="J109" s="25">
        <f>IF(I109="","",IF(E109="","",G109))</f>
        <v/>
      </c>
      <c r="K109" s="26" t="n"/>
      <c r="N109" s="28" t="inlineStr">
        <is>
          <t>Sandwich</t>
        </is>
      </c>
      <c r="O109" s="29" t="inlineStr">
        <is>
          <t>.</t>
        </is>
      </c>
    </row>
    <row r="110">
      <c r="A110" s="15" t="inlineStr">
        <is>
          <t>SUM Club Sandwich</t>
        </is>
      </c>
      <c r="B110" s="18" t="n">
        <v>4672.5</v>
      </c>
      <c r="C110" s="73" t="n">
        <v>0.029959547397639</v>
      </c>
      <c r="D110" s="73" t="n">
        <v>0.0412729286687195</v>
      </c>
      <c r="E110" s="73" t="n">
        <v>0.6597246734909989</v>
      </c>
      <c r="F110" s="18" t="n">
        <v>-2.5</v>
      </c>
      <c r="G110" s="20" t="n">
        <v>187</v>
      </c>
      <c r="H110" s="18" t="n">
        <v>24.9866310160428</v>
      </c>
      <c r="I110">
        <f t="array" ref="I110">IFERROR(INDEX($N$5:$N$271,MATCH(TRUE,EXACT(A110,$O$5:$O$271),)),"")</f>
        <v/>
      </c>
      <c r="J110" s="25">
        <f>IF(I110="","",IF(E110="","",G110))</f>
        <v/>
      </c>
      <c r="K110" s="26" t="n">
        <v>1</v>
      </c>
      <c r="N110" s="28" t="inlineStr">
        <is>
          <t>Sandwich</t>
        </is>
      </c>
      <c r="O110" s="29" t="inlineStr">
        <is>
          <t>.</t>
        </is>
      </c>
    </row>
    <row r="111">
      <c r="A111" s="15" t="inlineStr">
        <is>
          <t>Lobster &amp; Crab Roll</t>
        </is>
      </c>
      <c r="B111" s="18" t="n">
        <v>1316</v>
      </c>
      <c r="C111" s="73" t="n">
        <v>0.00843804481012155</v>
      </c>
      <c r="D111" s="73" t="n">
        <v>0.0116244353404034</v>
      </c>
      <c r="E111" s="73" t="n">
        <v>0.18581009530533</v>
      </c>
      <c r="F111" s="18" t="n">
        <v>0</v>
      </c>
      <c r="G111" s="20" t="n">
        <v>47</v>
      </c>
      <c r="H111" s="18" t="n">
        <v>28</v>
      </c>
      <c r="I111">
        <f t="array" ref="I111">IFERROR(INDEX($N$5:$N$271,MATCH(TRUE,EXACT(A111,$O$5:$O$271),)),"")</f>
        <v/>
      </c>
      <c r="J111" s="25">
        <f>IF(I111="","",IF(E111="","",G111))</f>
        <v/>
      </c>
      <c r="K111" s="26" t="n">
        <v>2</v>
      </c>
      <c r="N111" s="28" t="inlineStr">
        <is>
          <t>Sandwich</t>
        </is>
      </c>
      <c r="O111" s="29" t="inlineStr">
        <is>
          <t>.</t>
        </is>
      </c>
    </row>
    <row r="112">
      <c r="A112" s="15" t="inlineStr">
        <is>
          <t>Ham &amp; Cheese</t>
        </is>
      </c>
      <c r="B112" s="18" t="n">
        <v>440</v>
      </c>
      <c r="C112" s="73" t="n">
        <v>0.00282123078757863</v>
      </c>
      <c r="D112" s="73" t="n">
        <v>0.00388658932353913</v>
      </c>
      <c r="E112" s="73" t="n">
        <v>0.062124955877162</v>
      </c>
      <c r="F112" s="18" t="n">
        <v>0</v>
      </c>
      <c r="G112" s="20" t="n">
        <v>22</v>
      </c>
      <c r="H112" s="18" t="n">
        <v>20</v>
      </c>
      <c r="I112">
        <f t="array" ref="I112">IFERROR(INDEX($N$5:$N$271,MATCH(TRUE,EXACT(A112,$O$5:$O$271),)),"")</f>
        <v/>
      </c>
      <c r="J112" s="25">
        <f>IF(I112="","",IF(E112="","",G112))</f>
        <v/>
      </c>
      <c r="K112" s="26" t="n">
        <v>3</v>
      </c>
      <c r="N112" s="28" t="inlineStr">
        <is>
          <t>Sandwich</t>
        </is>
      </c>
      <c r="O112" s="29" t="inlineStr">
        <is>
          <t>.</t>
        </is>
      </c>
    </row>
    <row r="113">
      <c r="A113" s="15" t="inlineStr">
        <is>
          <t>Salmon &amp; Caviar</t>
        </is>
      </c>
      <c r="B113" s="18" t="n">
        <v>264</v>
      </c>
      <c r="C113" s="73" t="n">
        <v>0.00169273847254718</v>
      </c>
      <c r="D113" s="73" t="n">
        <v>0.00233195359412348</v>
      </c>
      <c r="E113" s="73" t="n">
        <v>0.0372749735262972</v>
      </c>
      <c r="F113" s="18" t="n">
        <v>0</v>
      </c>
      <c r="G113" s="20" t="n">
        <v>12</v>
      </c>
      <c r="H113" s="18" t="n">
        <v>22</v>
      </c>
      <c r="I113">
        <f t="array" ref="I113">IFERROR(INDEX($N$5:$N$271,MATCH(TRUE,EXACT(A113,$O$5:$O$271),)),"")</f>
        <v/>
      </c>
      <c r="J113" s="25">
        <f>IF(I113="","",IF(E113="","",G113))</f>
        <v/>
      </c>
      <c r="K113" s="26" t="n">
        <v>4</v>
      </c>
      <c r="N113" s="28" t="inlineStr">
        <is>
          <t>Sandwich</t>
        </is>
      </c>
      <c r="O113" s="29" t="inlineStr">
        <is>
          <t>.</t>
        </is>
      </c>
    </row>
    <row r="114">
      <c r="A114" s="15" t="inlineStr">
        <is>
          <t>Finger Sandwich</t>
        </is>
      </c>
      <c r="B114" s="18" t="n">
        <v>198</v>
      </c>
      <c r="C114" s="73" t="n">
        <v>0.00126955385441039</v>
      </c>
      <c r="D114" s="73" t="n">
        <v>0.00174896519559261</v>
      </c>
      <c r="E114" s="73" t="n">
        <v>0.0279562301447229</v>
      </c>
      <c r="F114" s="18" t="n">
        <v>0</v>
      </c>
      <c r="G114" s="20" t="n">
        <v>16</v>
      </c>
      <c r="H114" s="18" t="n">
        <v>12.375</v>
      </c>
      <c r="I114">
        <f t="array" ref="I114">IFERROR(INDEX($N$5:$N$271,MATCH(TRUE,EXACT(A114,$O$5:$O$271),)),"")</f>
        <v/>
      </c>
      <c r="J114" s="25">
        <f>IF(I114="","",IF(E114="","",G114))</f>
        <v/>
      </c>
      <c r="K114" s="26" t="n">
        <v>5</v>
      </c>
      <c r="N114" s="28" t="inlineStr">
        <is>
          <t>Sandwich</t>
        </is>
      </c>
      <c r="O114" s="29" t="inlineStr">
        <is>
          <t>.</t>
        </is>
      </c>
    </row>
    <row r="115">
      <c r="A115" s="15" t="inlineStr">
        <is>
          <t>Toasted Sandwich</t>
        </is>
      </c>
      <c r="B115" s="18" t="n">
        <v>192</v>
      </c>
      <c r="C115" s="73" t="n">
        <v>0.00123108252548886</v>
      </c>
      <c r="D115" s="73" t="n">
        <v>0.00169596625027162</v>
      </c>
      <c r="E115" s="73" t="n">
        <v>0.0271090716554889</v>
      </c>
      <c r="F115" s="18" t="n">
        <v>0</v>
      </c>
      <c r="G115" s="20" t="n">
        <v>12</v>
      </c>
      <c r="H115" s="18" t="n">
        <v>16</v>
      </c>
      <c r="I115">
        <f t="array" ref="I115">IFERROR(INDEX($N$5:$N$271,MATCH(TRUE,EXACT(A115,$O$5:$O$271),)),"")</f>
        <v/>
      </c>
      <c r="J115" s="25">
        <f>IF(I115="","",IF(E115="","",G115))</f>
        <v/>
      </c>
      <c r="K115" s="26" t="n">
        <v>6</v>
      </c>
      <c r="N115" s="28" t="inlineStr">
        <is>
          <t>Sandwich</t>
        </is>
      </c>
      <c r="O115" s="29" t="inlineStr">
        <is>
          <t>.</t>
        </is>
      </c>
    </row>
    <row r="116">
      <c r="A116" s="17" t="inlineStr">
        <is>
          <t>Speciality</t>
        </is>
      </c>
      <c r="B116" s="13" t="n">
        <v>6918</v>
      </c>
      <c r="C116" s="70" t="n">
        <v>0.0443574422465204</v>
      </c>
      <c r="D116" s="70" t="n">
        <v>0.0611077839550993</v>
      </c>
      <c r="E116" s="15" t="inlineStr"/>
      <c r="F116" s="13" t="n">
        <v>0</v>
      </c>
      <c r="G116" s="16" t="n">
        <v>320</v>
      </c>
      <c r="H116" s="13" t="n">
        <v>21.61875</v>
      </c>
      <c r="I116">
        <f t="array" ref="I116">IFERROR(INDEX($N$5:$N$271,MATCH(TRUE,EXACT(A116,$O$5:$O$271),)),"")</f>
        <v/>
      </c>
      <c r="J116" s="25">
        <f>IF(I116="","",IF(E116="","",G116))</f>
        <v/>
      </c>
      <c r="K116" s="26" t="n"/>
      <c r="N116" s="28" t="inlineStr">
        <is>
          <t>Sandwich</t>
        </is>
      </c>
      <c r="O116" s="29" t="inlineStr">
        <is>
          <t>.</t>
        </is>
      </c>
    </row>
    <row r="117">
      <c r="A117" s="15" t="inlineStr">
        <is>
          <t>Shawarma Chicken</t>
        </is>
      </c>
      <c r="B117" s="18" t="n">
        <v>2250</v>
      </c>
      <c r="C117" s="73" t="n">
        <v>0.0144267483455726</v>
      </c>
      <c r="D117" s="73" t="n">
        <v>0.0198746044953705</v>
      </c>
      <c r="E117" s="73" t="n">
        <v>0.325238508239376</v>
      </c>
      <c r="F117" s="18" t="n">
        <v>0</v>
      </c>
      <c r="G117" s="20" t="n">
        <v>90</v>
      </c>
      <c r="H117" s="18" t="n">
        <v>25</v>
      </c>
      <c r="I117">
        <f t="array" ref="I117">IFERROR(INDEX($N$5:$N$271,MATCH(TRUE,EXACT(A117,$O$5:$O$271),)),"")</f>
        <v/>
      </c>
      <c r="J117" s="25">
        <f>IF(I117="","",IF(E117="","",G117))</f>
        <v/>
      </c>
      <c r="K117" s="26" t="n">
        <v>1</v>
      </c>
      <c r="L117" s="66" t="n"/>
      <c r="N117" s="28" t="inlineStr">
        <is>
          <t>Sandwich</t>
        </is>
      </c>
      <c r="O117" s="29" t="inlineStr">
        <is>
          <t>.</t>
        </is>
      </c>
    </row>
    <row r="118">
      <c r="A118" s="15" t="inlineStr">
        <is>
          <t>Arab Mixed Grill</t>
        </is>
      </c>
      <c r="B118" s="18" t="n">
        <v>1260</v>
      </c>
      <c r="C118" s="73" t="n">
        <v>0.008078979073520631</v>
      </c>
      <c r="D118" s="73" t="n">
        <v>0.0111297785174075</v>
      </c>
      <c r="E118" s="73" t="n">
        <v>0.18213356461405</v>
      </c>
      <c r="F118" s="18" t="n">
        <v>0</v>
      </c>
      <c r="G118" s="20" t="n">
        <v>28</v>
      </c>
      <c r="H118" s="18" t="n">
        <v>45</v>
      </c>
      <c r="I118">
        <f t="array" ref="I118">IFERROR(INDEX($N$5:$N$271,MATCH(TRUE,EXACT(A118,$O$5:$O$271),)),"")</f>
        <v/>
      </c>
      <c r="J118" s="25">
        <f>IF(I118="","",IF(E118="","",G118))</f>
        <v/>
      </c>
      <c r="K118" s="26" t="n">
        <v>2</v>
      </c>
      <c r="N118" s="28" t="inlineStr">
        <is>
          <t>Sandwich</t>
        </is>
      </c>
      <c r="O118" s="29" t="inlineStr">
        <is>
          <t>.</t>
        </is>
      </c>
    </row>
    <row r="119" ht="14.75" customHeight="1">
      <c r="A119" s="15" t="inlineStr">
        <is>
          <t>Humus/Pitta</t>
        </is>
      </c>
      <c r="B119" s="18" t="n">
        <v>793</v>
      </c>
      <c r="C119" s="73" t="n">
        <v>0.00508462730579513</v>
      </c>
      <c r="D119" s="73" t="n">
        <v>0.00700469393992393</v>
      </c>
      <c r="E119" s="73" t="n">
        <v>0.114628505348367</v>
      </c>
      <c r="F119" s="18" t="n">
        <v>0</v>
      </c>
      <c r="G119" s="20" t="n">
        <v>61</v>
      </c>
      <c r="H119" s="18" t="n">
        <v>13</v>
      </c>
      <c r="I119">
        <f t="array" ref="I119">IFERROR(INDEX($N$5:$N$271,MATCH(TRUE,EXACT(A119,$O$5:$O$271),)),"")</f>
        <v/>
      </c>
      <c r="J119" s="25">
        <f>IF(I119="","",IF(E119="","",G119))</f>
        <v/>
      </c>
      <c r="K119" s="26" t="n">
        <v>3</v>
      </c>
      <c r="N119" s="28" t="inlineStr">
        <is>
          <t>Sandwich</t>
        </is>
      </c>
      <c r="O119" s="29" t="inlineStr">
        <is>
          <t>.</t>
        </is>
      </c>
    </row>
    <row r="120" ht="14.75" customHeight="1">
      <c r="A120" s="15" t="inlineStr">
        <is>
          <t>Baby Chix Arabic</t>
        </is>
      </c>
      <c r="B120" s="18" t="n">
        <v>644</v>
      </c>
      <c r="C120" s="73" t="n">
        <v>0.00412925597091055</v>
      </c>
      <c r="D120" s="73" t="n">
        <v>0.00568855346445272</v>
      </c>
      <c r="E120" s="73" t="n">
        <v>0.09309048858051459</v>
      </c>
      <c r="F120" s="18" t="n">
        <v>0</v>
      </c>
      <c r="G120" s="20" t="n">
        <v>23</v>
      </c>
      <c r="H120" s="18" t="n">
        <v>28</v>
      </c>
      <c r="I120">
        <f t="array" ref="I120">IFERROR(INDEX($N$5:$N$271,MATCH(TRUE,EXACT(A120,$O$5:$O$271),)),"")</f>
        <v/>
      </c>
      <c r="J120" s="25">
        <f>IF(I120="","",IF(E120="","",G120))</f>
        <v/>
      </c>
      <c r="K120" s="26" t="n">
        <v>4</v>
      </c>
      <c r="N120" s="30" t="inlineStr">
        <is>
          <t>Pizza</t>
        </is>
      </c>
      <c r="O120" s="29" t="inlineStr">
        <is>
          <t>Margherita Pizza</t>
        </is>
      </c>
    </row>
    <row r="121">
      <c r="A121" s="15" t="inlineStr">
        <is>
          <t>Cold Mezzeh</t>
        </is>
      </c>
      <c r="B121" s="18" t="n">
        <v>432</v>
      </c>
      <c r="C121" s="73" t="n">
        <v>0.00276993568234993</v>
      </c>
      <c r="D121" s="73" t="n">
        <v>0.00381592406311114</v>
      </c>
      <c r="E121" s="73" t="n">
        <v>0.0624457935819601</v>
      </c>
      <c r="F121" s="18" t="n">
        <v>0</v>
      </c>
      <c r="G121" s="20" t="n">
        <v>16</v>
      </c>
      <c r="H121" s="18" t="n">
        <v>27</v>
      </c>
      <c r="I121">
        <f t="array" ref="I121">IFERROR(INDEX($N$5:$N$271,MATCH(TRUE,EXACT(A121,$O$5:$O$271),)),"")</f>
        <v/>
      </c>
      <c r="J121" s="25">
        <f>IF(I121="","",IF(E121="","",G121))</f>
        <v/>
      </c>
      <c r="K121" s="26" t="n">
        <v>5</v>
      </c>
      <c r="N121" s="28" t="inlineStr">
        <is>
          <t>Pizza</t>
        </is>
      </c>
      <c r="O121" s="29" t="inlineStr">
        <is>
          <t>Pepperoni Pizza</t>
        </is>
      </c>
    </row>
    <row r="122">
      <c r="A122" s="15" t="inlineStr">
        <is>
          <t>Hot Mezzeh</t>
        </is>
      </c>
      <c r="B122" s="18" t="n">
        <v>384</v>
      </c>
      <c r="C122" s="73" t="n">
        <v>0.00246216505097772</v>
      </c>
      <c r="D122" s="73" t="n">
        <v>0.00339193250054324</v>
      </c>
      <c r="E122" s="73" t="n">
        <v>0.0555073720728534</v>
      </c>
      <c r="F122" s="18" t="n">
        <v>0</v>
      </c>
      <c r="G122" s="20" t="n">
        <v>12</v>
      </c>
      <c r="H122" s="18" t="n">
        <v>32</v>
      </c>
      <c r="I122">
        <f t="array" ref="I122">IFERROR(INDEX($N$5:$N$271,MATCH(TRUE,EXACT(A122,$O$5:$O$271),)),"")</f>
        <v/>
      </c>
      <c r="J122" s="25">
        <f>IF(I122="","",IF(E122="","",G122))</f>
        <v/>
      </c>
      <c r="K122" s="26" t="n">
        <v>6</v>
      </c>
      <c r="N122" s="28" t="inlineStr">
        <is>
          <t>Pizza</t>
        </is>
      </c>
      <c r="O122" s="29" t="inlineStr">
        <is>
          <t>Homemade Pizza</t>
        </is>
      </c>
    </row>
    <row r="123">
      <c r="A123" s="15" t="inlineStr">
        <is>
          <t>Grilled Halloumi</t>
        </is>
      </c>
      <c r="B123" s="18" t="n">
        <v>330</v>
      </c>
      <c r="C123" s="73" t="n">
        <v>0.00211592309068398</v>
      </c>
      <c r="D123" s="73" t="n">
        <v>0.00291494199265435</v>
      </c>
      <c r="E123" s="73" t="n">
        <v>0.0477016478751084</v>
      </c>
      <c r="F123" s="18" t="n">
        <v>0</v>
      </c>
      <c r="G123" s="20" t="n">
        <v>22</v>
      </c>
      <c r="H123" s="18" t="n">
        <v>15</v>
      </c>
      <c r="I123">
        <f t="array" ref="I123">IFERROR(INDEX($N$5:$N$271,MATCH(TRUE,EXACT(A123,$O$5:$O$271),)),"")</f>
        <v/>
      </c>
      <c r="J123" s="25">
        <f>IF(I123="","",IF(E123="","",G123))</f>
        <v/>
      </c>
      <c r="K123" s="26" t="n">
        <v>7</v>
      </c>
      <c r="N123" s="28" t="inlineStr">
        <is>
          <t>Pizza</t>
        </is>
      </c>
      <c r="O123" s="29" t="inlineStr">
        <is>
          <t>Primavera Pizza</t>
        </is>
      </c>
    </row>
    <row r="124">
      <c r="A124" s="15" t="inlineStr">
        <is>
          <t>Falafel</t>
        </is>
      </c>
      <c r="B124" s="18" t="n">
        <v>140</v>
      </c>
      <c r="C124" s="73" t="n">
        <v>0.000897664341502293</v>
      </c>
      <c r="D124" s="73" t="n">
        <v>0.00123664205748972</v>
      </c>
      <c r="E124" s="73" t="n">
        <v>0.0202370627348945</v>
      </c>
      <c r="F124" s="18" t="n">
        <v>0</v>
      </c>
      <c r="G124" s="20" t="n">
        <v>10</v>
      </c>
      <c r="H124" s="18" t="n">
        <v>14</v>
      </c>
      <c r="I124">
        <f t="array" ref="I124">IFERROR(INDEX($N$5:$N$271,MATCH(TRUE,EXACT(A124,$O$5:$O$271),)),"")</f>
        <v/>
      </c>
      <c r="J124" s="25">
        <f>IF(I124="","",IF(E124="","",G124))</f>
        <v/>
      </c>
      <c r="K124" s="26" t="n">
        <v>8</v>
      </c>
      <c r="N124" s="28" t="inlineStr">
        <is>
          <t>Pizza</t>
        </is>
      </c>
      <c r="O124" s="29" t="inlineStr">
        <is>
          <t>.</t>
        </is>
      </c>
    </row>
    <row r="125">
      <c r="A125" s="15" t="inlineStr">
        <is>
          <t>Lamb Kibbeh</t>
        </is>
      </c>
      <c r="B125" s="18" t="n">
        <v>119</v>
      </c>
      <c r="C125" s="73" t="n">
        <v>0.000763014690276949</v>
      </c>
      <c r="D125" s="73" t="n">
        <v>0.00105114574886626</v>
      </c>
      <c r="E125" s="73" t="n">
        <v>0.0172015033246603</v>
      </c>
      <c r="F125" s="18" t="n">
        <v>0</v>
      </c>
      <c r="G125" s="20" t="n">
        <v>7</v>
      </c>
      <c r="H125" s="18" t="n">
        <v>17</v>
      </c>
      <c r="I125">
        <f t="array" ref="I125">IFERROR(INDEX($N$5:$N$271,MATCH(TRUE,EXACT(A125,$O$5:$O$271),)),"")</f>
        <v/>
      </c>
      <c r="J125" s="25">
        <f>IF(I125="","",IF(E125="","",G125))</f>
        <v/>
      </c>
      <c r="K125" s="26" t="n">
        <v>9</v>
      </c>
      <c r="N125" s="28" t="inlineStr">
        <is>
          <t>Pizza</t>
        </is>
      </c>
      <c r="O125" s="29" t="inlineStr">
        <is>
          <t>.</t>
        </is>
      </c>
    </row>
    <row r="126">
      <c r="A126" s="15" t="inlineStr">
        <is>
          <t>Arabic Pickles Olives</t>
        </is>
      </c>
      <c r="B126" s="18" t="n">
        <v>112</v>
      </c>
      <c r="C126" s="73" t="n">
        <v>0.0007181314732018341</v>
      </c>
      <c r="D126" s="73" t="n">
        <v>0.000989313645991778</v>
      </c>
      <c r="E126" s="73" t="n">
        <v>0.0161896501879156</v>
      </c>
      <c r="F126" s="18" t="n">
        <v>0</v>
      </c>
      <c r="G126" s="20" t="n">
        <v>14</v>
      </c>
      <c r="H126" s="18" t="n">
        <v>8</v>
      </c>
      <c r="I126">
        <f t="array" ref="I126">IFERROR(INDEX($N$5:$N$271,MATCH(TRUE,EXACT(A126,$O$5:$O$271),)),"")</f>
        <v/>
      </c>
      <c r="J126" s="25">
        <f>IF(I126="","",IF(E126="","",G126))</f>
        <v/>
      </c>
      <c r="K126" s="26" t="n">
        <v>10</v>
      </c>
      <c r="N126" s="28" t="inlineStr">
        <is>
          <t>Pizza</t>
        </is>
      </c>
      <c r="O126" s="29" t="inlineStr">
        <is>
          <t>.</t>
        </is>
      </c>
    </row>
    <row r="127">
      <c r="A127" s="15" t="inlineStr">
        <is>
          <t>Shakshouka</t>
        </is>
      </c>
      <c r="B127" s="18" t="n">
        <v>112</v>
      </c>
      <c r="C127" s="73" t="n">
        <v>0.0007181314732018341</v>
      </c>
      <c r="D127" s="73" t="n">
        <v>0.000989313645991778</v>
      </c>
      <c r="E127" s="73" t="n">
        <v>0.0161896501879156</v>
      </c>
      <c r="F127" s="18" t="n">
        <v>0</v>
      </c>
      <c r="G127" s="20" t="n">
        <v>7</v>
      </c>
      <c r="H127" s="18" t="n">
        <v>16</v>
      </c>
      <c r="I127">
        <f t="array" ref="I127">IFERROR(INDEX($N$5:$N$271,MATCH(TRUE,EXACT(A127,$O$5:$O$271),)),"")</f>
        <v/>
      </c>
      <c r="J127" s="25">
        <f>IF(I127="","",IF(E127="","",G127))</f>
        <v/>
      </c>
      <c r="K127" s="26" t="n">
        <v>11</v>
      </c>
      <c r="N127" s="28" t="inlineStr">
        <is>
          <t>Pizza</t>
        </is>
      </c>
      <c r="O127" s="29" t="inlineStr">
        <is>
          <t>.</t>
        </is>
      </c>
    </row>
    <row r="128">
      <c r="A128" s="15" t="inlineStr">
        <is>
          <t>Fattoush</t>
        </is>
      </c>
      <c r="B128" s="18" t="n">
        <v>98</v>
      </c>
      <c r="C128" s="73" t="n">
        <v>0.000628365039051605</v>
      </c>
      <c r="D128" s="73" t="n">
        <v>0.000865649440242806</v>
      </c>
      <c r="E128" s="73" t="n">
        <v>0.0141659439144261</v>
      </c>
      <c r="F128" s="18" t="n">
        <v>0</v>
      </c>
      <c r="G128" s="20" t="n">
        <v>7</v>
      </c>
      <c r="H128" s="18" t="n">
        <v>14</v>
      </c>
      <c r="I128">
        <f t="array" ref="I128">IFERROR(INDEX($N$5:$N$271,MATCH(TRUE,EXACT(A128,$O$5:$O$271),)),"")</f>
        <v/>
      </c>
      <c r="J128" s="25">
        <f>IF(I128="","",IF(E128="","",G128))</f>
        <v/>
      </c>
      <c r="K128" s="26" t="n">
        <v>12</v>
      </c>
      <c r="N128" s="28" t="inlineStr">
        <is>
          <t>Pizza</t>
        </is>
      </c>
      <c r="O128" s="29" t="inlineStr">
        <is>
          <t>.</t>
        </is>
      </c>
    </row>
    <row r="129">
      <c r="A129" s="15" t="inlineStr">
        <is>
          <t>Tabouleh</t>
        </is>
      </c>
      <c r="B129" s="18" t="n">
        <v>56</v>
      </c>
      <c r="C129" s="73" t="n">
        <v>0.000359065736600917</v>
      </c>
      <c r="D129" s="73" t="n">
        <v>0.000494656822995889</v>
      </c>
      <c r="E129" s="73" t="n">
        <v>0.008094825093957789</v>
      </c>
      <c r="F129" s="18" t="n">
        <v>0</v>
      </c>
      <c r="G129" s="20" t="n">
        <v>4</v>
      </c>
      <c r="H129" s="18" t="n">
        <v>14</v>
      </c>
      <c r="I129">
        <f t="array" ref="I129">IFERROR(INDEX($N$5:$N$271,MATCH(TRUE,EXACT(A129,$O$5:$O$271),)),"")</f>
        <v/>
      </c>
      <c r="J129" s="25">
        <f>IF(I129="","",IF(E129="","",G129))</f>
        <v/>
      </c>
      <c r="K129" s="26" t="n">
        <v>13</v>
      </c>
      <c r="N129" s="28" t="inlineStr">
        <is>
          <t>Pizza</t>
        </is>
      </c>
      <c r="O129" s="29" t="inlineStr">
        <is>
          <t>.</t>
        </is>
      </c>
    </row>
    <row r="130">
      <c r="A130" s="15" t="inlineStr">
        <is>
          <t>Warak Enab</t>
        </is>
      </c>
      <c r="B130" s="18" t="n">
        <v>56</v>
      </c>
      <c r="C130" s="73" t="n">
        <v>0.000359065736600917</v>
      </c>
      <c r="D130" s="73" t="n">
        <v>0.000494656822995889</v>
      </c>
      <c r="E130" s="73" t="n">
        <v>0.008094825093957789</v>
      </c>
      <c r="F130" s="18" t="n">
        <v>0</v>
      </c>
      <c r="G130" s="20" t="n">
        <v>4</v>
      </c>
      <c r="H130" s="18" t="n">
        <v>14</v>
      </c>
      <c r="I130">
        <f t="array" ref="I130">IFERROR(INDEX($N$5:$N$271,MATCH(TRUE,EXACT(A130,$O$5:$O$271),)),"")</f>
        <v/>
      </c>
      <c r="J130" s="25">
        <f>IF(I130="","",IF(E130="","",G130))</f>
        <v/>
      </c>
      <c r="K130" s="26" t="n">
        <v>14</v>
      </c>
      <c r="N130" s="28" t="inlineStr">
        <is>
          <t>Pizza</t>
        </is>
      </c>
      <c r="O130" s="29" t="inlineStr">
        <is>
          <t>.</t>
        </is>
      </c>
    </row>
    <row r="131">
      <c r="A131" s="15" t="inlineStr">
        <is>
          <t>Moutabel</t>
        </is>
      </c>
      <c r="B131" s="18" t="n">
        <v>42</v>
      </c>
      <c r="C131" s="73" t="n">
        <v>0.000269299302450688</v>
      </c>
      <c r="D131" s="73" t="n">
        <v>0.000370992617246917</v>
      </c>
      <c r="E131" s="73" t="n">
        <v>0.00607111882046834</v>
      </c>
      <c r="F131" s="18" t="n">
        <v>0</v>
      </c>
      <c r="G131" s="20" t="n">
        <v>3</v>
      </c>
      <c r="H131" s="18" t="n">
        <v>14</v>
      </c>
      <c r="I131">
        <f t="array" ref="I131">IFERROR(INDEX($N$5:$N$271,MATCH(TRUE,EXACT(A131,$O$5:$O$271),)),"")</f>
        <v/>
      </c>
      <c r="J131" s="25">
        <f>IF(I131="","",IF(E131="","",G131))</f>
        <v/>
      </c>
      <c r="K131" s="26" t="n">
        <v>15</v>
      </c>
      <c r="N131" s="28" t="inlineStr">
        <is>
          <t>Pizza</t>
        </is>
      </c>
      <c r="O131" s="29" t="inlineStr">
        <is>
          <t>.</t>
        </is>
      </c>
    </row>
    <row r="132">
      <c r="A132" s="15" t="inlineStr">
        <is>
          <t>Pitta Bread</t>
        </is>
      </c>
      <c r="B132" s="18" t="n">
        <v>35</v>
      </c>
      <c r="C132" s="73" t="n">
        <v>0.000224416085375573</v>
      </c>
      <c r="D132" s="73" t="n">
        <v>0.000309160514372431</v>
      </c>
      <c r="E132" s="73" t="n">
        <v>0.00505926568372362</v>
      </c>
      <c r="F132" s="18" t="n">
        <v>0</v>
      </c>
      <c r="G132" s="20" t="n">
        <v>7</v>
      </c>
      <c r="H132" s="18" t="n">
        <v>5</v>
      </c>
      <c r="I132">
        <f t="array" ref="I132">IFERROR(INDEX($N$5:$N$271,MATCH(TRUE,EXACT(A132,$O$5:$O$271),)),"")</f>
        <v/>
      </c>
      <c r="J132" s="25">
        <f>IF(I132="","",IF(E132="","",G132))</f>
        <v/>
      </c>
      <c r="K132" s="26" t="n">
        <v>16</v>
      </c>
      <c r="N132" s="28" t="inlineStr">
        <is>
          <t>Pizza</t>
        </is>
      </c>
      <c r="O132" s="29" t="inlineStr">
        <is>
          <t>.</t>
        </is>
      </c>
    </row>
    <row r="133">
      <c r="A133" s="15" t="inlineStr">
        <is>
          <t>Labneh</t>
        </is>
      </c>
      <c r="B133" s="18" t="n">
        <v>27</v>
      </c>
      <c r="C133" s="73" t="n">
        <v>0.000173120980146871</v>
      </c>
      <c r="D133" s="73" t="n">
        <v>0.000238495253944446</v>
      </c>
      <c r="E133" s="73" t="n">
        <v>0.00390286209887251</v>
      </c>
      <c r="F133" s="18" t="n">
        <v>0</v>
      </c>
      <c r="G133" s="20" t="n">
        <v>3</v>
      </c>
      <c r="H133" s="18" t="n">
        <v>9</v>
      </c>
      <c r="I133">
        <f t="array" ref="I133">IFERROR(INDEX($N$5:$N$271,MATCH(TRUE,EXACT(A133,$O$5:$O$271),)),"")</f>
        <v/>
      </c>
      <c r="J133" s="25">
        <f>IF(I133="","",IF(E133="","",G133))</f>
        <v/>
      </c>
      <c r="K133" s="26" t="n">
        <v>17</v>
      </c>
      <c r="N133" s="28" t="inlineStr">
        <is>
          <t>Pizza</t>
        </is>
      </c>
      <c r="O133" s="29" t="inlineStr">
        <is>
          <t>.</t>
        </is>
      </c>
    </row>
    <row r="134">
      <c r="A134" s="15" t="inlineStr">
        <is>
          <t>Foul Moudammas</t>
        </is>
      </c>
      <c r="B134" s="18" t="n">
        <v>15</v>
      </c>
      <c r="C134" s="73" t="n">
        <v>9.61783223038171e-05</v>
      </c>
      <c r="D134" s="73" t="n">
        <v>0.00013249736330247</v>
      </c>
      <c r="E134" s="73" t="n">
        <v>0.00216825672159584</v>
      </c>
      <c r="F134" s="18" t="n">
        <v>0</v>
      </c>
      <c r="G134" s="20" t="n">
        <v>1</v>
      </c>
      <c r="H134" s="18" t="n">
        <v>15</v>
      </c>
      <c r="I134">
        <f t="array" ref="I134">IFERROR(INDEX($N$5:$N$271,MATCH(TRUE,EXACT(A134,$O$5:$O$271),)),"")</f>
        <v/>
      </c>
      <c r="J134" s="25">
        <f>IF(I134="","",IF(E134="","",G134))</f>
        <v/>
      </c>
      <c r="K134" s="26" t="n">
        <v>18</v>
      </c>
      <c r="N134" s="28" t="inlineStr">
        <is>
          <t>Pizza</t>
        </is>
      </c>
      <c r="O134" s="29" t="inlineStr">
        <is>
          <t>.</t>
        </is>
      </c>
    </row>
    <row r="135">
      <c r="A135" s="15" t="inlineStr">
        <is>
          <t>Cheese Sambousek</t>
        </is>
      </c>
      <c r="B135" s="18" t="n">
        <v>13</v>
      </c>
      <c r="C135" s="73" t="n">
        <v>8.33545459966415e-05</v>
      </c>
      <c r="D135" s="73" t="n">
        <v>0.000114831048195474</v>
      </c>
      <c r="E135" s="73" t="n">
        <v>0.00187915582538306</v>
      </c>
      <c r="F135" s="18" t="n">
        <v>0</v>
      </c>
      <c r="G135" s="20" t="n">
        <v>1</v>
      </c>
      <c r="H135" s="18" t="n">
        <v>13</v>
      </c>
      <c r="I135">
        <f t="array" ref="I135">IFERROR(INDEX($N$5:$N$271,MATCH(TRUE,EXACT(A135,$O$5:$O$271),)),"")</f>
        <v/>
      </c>
      <c r="J135" s="25">
        <f>IF(I135="","",IF(E135="","",G135))</f>
        <v/>
      </c>
      <c r="K135" s="26" t="n">
        <v>19</v>
      </c>
      <c r="N135" s="28" t="inlineStr">
        <is>
          <t>Pizza</t>
        </is>
      </c>
      <c r="O135" s="29" t="inlineStr">
        <is>
          <t>.</t>
        </is>
      </c>
    </row>
    <row r="136">
      <c r="A136" s="17" t="inlineStr">
        <is>
          <t>Meat Dishes</t>
        </is>
      </c>
      <c r="B136" s="13" t="n">
        <v>5456</v>
      </c>
      <c r="C136" s="70" t="n">
        <v>0.0349832617659751</v>
      </c>
      <c r="D136" s="70" t="n">
        <v>0.0481937076118852</v>
      </c>
      <c r="E136" s="15" t="inlineStr"/>
      <c r="F136" s="13" t="n">
        <v>0</v>
      </c>
      <c r="G136" s="16" t="n">
        <v>166</v>
      </c>
      <c r="H136" s="13" t="n">
        <v>32.8674698795181</v>
      </c>
      <c r="I136">
        <f t="array" ref="I136">IFERROR(INDEX($N$5:$N$271,MATCH(TRUE,EXACT(A136,$O$5:$O$271),)),"")</f>
        <v/>
      </c>
      <c r="J136" s="25">
        <f>IF(I136="","",IF(E136="","",G136))</f>
        <v/>
      </c>
      <c r="K136" s="26" t="n"/>
      <c r="N136" s="28" t="inlineStr">
        <is>
          <t>Pizza</t>
        </is>
      </c>
      <c r="O136" s="29" t="inlineStr">
        <is>
          <t>.</t>
        </is>
      </c>
    </row>
    <row r="137">
      <c r="A137" s="15" t="inlineStr">
        <is>
          <t>SUM Beef Burger</t>
        </is>
      </c>
      <c r="B137" s="18" t="n">
        <v>2756</v>
      </c>
      <c r="C137" s="73" t="n">
        <v>0.017671163751288</v>
      </c>
      <c r="D137" s="73" t="n">
        <v>0.0243441822174405</v>
      </c>
      <c r="E137" s="73" t="n">
        <v>0.505131964809384</v>
      </c>
      <c r="F137" s="18" t="n">
        <v>0</v>
      </c>
      <c r="G137" s="20" t="n">
        <v>106</v>
      </c>
      <c r="H137" s="18" t="n">
        <v>26</v>
      </c>
      <c r="I137">
        <f t="array" ref="I137">IFERROR(INDEX($N$5:$N$271,MATCH(TRUE,EXACT(A137,$O$5:$O$271),)),"")</f>
        <v/>
      </c>
      <c r="J137" s="25">
        <f>IF(I137="","",IF(E137="","",G137))</f>
        <v/>
      </c>
      <c r="K137" s="26" t="n">
        <v>1</v>
      </c>
      <c r="N137" s="28" t="inlineStr">
        <is>
          <t>Pizza</t>
        </is>
      </c>
      <c r="O137" s="29" t="inlineStr">
        <is>
          <t>.</t>
        </is>
      </c>
    </row>
    <row r="138">
      <c r="A138" s="15" t="inlineStr">
        <is>
          <t>Grill Rib Eye</t>
        </is>
      </c>
      <c r="B138" s="18" t="n">
        <v>2025</v>
      </c>
      <c r="C138" s="73" t="n">
        <v>0.0129840735110153</v>
      </c>
      <c r="D138" s="73" t="n">
        <v>0.0178871440458335</v>
      </c>
      <c r="E138" s="73" t="n">
        <v>0.371151026392962</v>
      </c>
      <c r="F138" s="18" t="n">
        <v>0</v>
      </c>
      <c r="G138" s="20" t="n">
        <v>45</v>
      </c>
      <c r="H138" s="18" t="n">
        <v>45</v>
      </c>
      <c r="I138">
        <f t="array" ref="I138">IFERROR(INDEX($N$5:$N$271,MATCH(TRUE,EXACT(A138,$O$5:$O$271),)),"")</f>
        <v/>
      </c>
      <c r="J138" s="25">
        <f>IF(I138="","",IF(E138="","",G138))</f>
        <v/>
      </c>
      <c r="K138" s="26" t="n">
        <v>2</v>
      </c>
      <c r="N138" s="28" t="inlineStr">
        <is>
          <t>Pizza</t>
        </is>
      </c>
      <c r="O138" s="29" t="inlineStr">
        <is>
          <t>.</t>
        </is>
      </c>
    </row>
    <row r="139">
      <c r="A139" s="15" t="inlineStr">
        <is>
          <t>SUM Rib Eye</t>
        </is>
      </c>
      <c r="B139" s="18" t="n">
        <v>675</v>
      </c>
      <c r="C139" s="73" t="n">
        <v>0.00432802450367177</v>
      </c>
      <c r="D139" s="73" t="n">
        <v>0.00596238134861116</v>
      </c>
      <c r="E139" s="73" t="n">
        <v>0.123717008797654</v>
      </c>
      <c r="F139" s="18" t="n">
        <v>0</v>
      </c>
      <c r="G139" s="20" t="n">
        <v>15</v>
      </c>
      <c r="H139" s="18" t="n">
        <v>45</v>
      </c>
      <c r="I139">
        <f t="array" ref="I139">IFERROR(INDEX($N$5:$N$271,MATCH(TRUE,EXACT(A139,$O$5:$O$271),)),"")</f>
        <v/>
      </c>
      <c r="J139" s="25">
        <f>IF(I139="","",IF(E139="","",G139))</f>
        <v/>
      </c>
      <c r="K139" s="26" t="n">
        <v>6</v>
      </c>
      <c r="N139" s="28" t="inlineStr">
        <is>
          <t>Pizza</t>
        </is>
      </c>
      <c r="O139" s="29" t="inlineStr">
        <is>
          <t>.</t>
        </is>
      </c>
    </row>
    <row r="140">
      <c r="A140" s="17" t="inlineStr">
        <is>
          <t>Buffet Set Menus</t>
        </is>
      </c>
      <c r="B140" s="13" t="n">
        <v>5258</v>
      </c>
      <c r="C140" s="70" t="n">
        <v>0.0337137079115647</v>
      </c>
      <c r="D140" s="70" t="n">
        <v>0.0464447424162926</v>
      </c>
      <c r="E140" s="15" t="inlineStr"/>
      <c r="F140" s="13" t="n">
        <v>0</v>
      </c>
      <c r="G140" s="16" t="n">
        <v>163</v>
      </c>
      <c r="H140" s="13" t="n">
        <v>32.2576687116564</v>
      </c>
      <c r="I140">
        <f t="array" ref="I140">IFERROR(INDEX($N$5:$N$271,MATCH(TRUE,EXACT(A140,$O$5:$O$271),)),"")</f>
        <v/>
      </c>
      <c r="J140" s="25">
        <f>IF(I140="","",IF(E140="","",G140))</f>
        <v/>
      </c>
      <c r="K140" s="26" t="n"/>
      <c r="N140" s="28" t="inlineStr">
        <is>
          <t>Pizza</t>
        </is>
      </c>
      <c r="O140" s="29" t="inlineStr">
        <is>
          <t>.</t>
        </is>
      </c>
    </row>
    <row r="141">
      <c r="A141" s="15" t="inlineStr">
        <is>
          <t>LunchC Junket</t>
        </is>
      </c>
      <c r="B141" s="18" t="n">
        <v>2166</v>
      </c>
      <c r="C141" s="73" t="n">
        <v>0.0138881497406712</v>
      </c>
      <c r="D141" s="73" t="n">
        <v>0.0191326192608767</v>
      </c>
      <c r="E141" s="73" t="n">
        <v>0.411943704830734</v>
      </c>
      <c r="F141" s="18" t="n">
        <v>0</v>
      </c>
      <c r="G141" s="20" t="n">
        <v>57</v>
      </c>
      <c r="H141" s="18" t="n">
        <v>38</v>
      </c>
      <c r="I141">
        <f t="array" ref="I141">IFERROR(INDEX($N$5:$N$271,MATCH(TRUE,EXACT(A141,$O$5:$O$271),)),"")</f>
        <v/>
      </c>
      <c r="J141" s="25">
        <f>IF(I141="","",IF(E141="","",G141))</f>
        <v/>
      </c>
      <c r="K141" s="26" t="n"/>
      <c r="N141" s="28" t="inlineStr">
        <is>
          <t>Pizza</t>
        </is>
      </c>
      <c r="O141" s="29" t="inlineStr">
        <is>
          <t>.</t>
        </is>
      </c>
    </row>
    <row r="142">
      <c r="A142" s="15" t="inlineStr">
        <is>
          <t>LunchB Junket</t>
        </is>
      </c>
      <c r="B142" s="18" t="n">
        <v>1920</v>
      </c>
      <c r="C142" s="73" t="n">
        <v>0.0123108252548886</v>
      </c>
      <c r="D142" s="73" t="n">
        <v>0.0169596625027162</v>
      </c>
      <c r="E142" s="73" t="n">
        <v>0.365157854697604</v>
      </c>
      <c r="F142" s="18" t="n">
        <v>0</v>
      </c>
      <c r="G142" s="20" t="n">
        <v>64</v>
      </c>
      <c r="H142" s="18" t="n">
        <v>30</v>
      </c>
      <c r="I142">
        <f t="array" ref="I142">IFERROR(INDEX($N$5:$N$271,MATCH(TRUE,EXACT(A142,$O$5:$O$271),)),"")</f>
        <v/>
      </c>
      <c r="J142" s="25">
        <f>IF(I142="","",IF(E142="","",G142))</f>
        <v/>
      </c>
      <c r="K142" s="26" t="n"/>
      <c r="N142" s="28" t="inlineStr">
        <is>
          <t>Pizza</t>
        </is>
      </c>
      <c r="O142" s="29" t="inlineStr">
        <is>
          <t>.</t>
        </is>
      </c>
    </row>
    <row r="143">
      <c r="A143" s="15" t="inlineStr">
        <is>
          <t>LunchA Junket</t>
        </is>
      </c>
      <c r="B143" s="18" t="n">
        <v>520</v>
      </c>
      <c r="C143" s="73" t="n">
        <v>0.00333418183986566</v>
      </c>
      <c r="D143" s="73" t="n">
        <v>0.00459324192781897</v>
      </c>
      <c r="E143" s="73" t="n">
        <v>0.098896918980601</v>
      </c>
      <c r="F143" s="18" t="n">
        <v>0</v>
      </c>
      <c r="G143" s="20" t="n">
        <v>26</v>
      </c>
      <c r="H143" s="18" t="n">
        <v>20</v>
      </c>
      <c r="I143">
        <f t="array" ref="I143">IFERROR(INDEX($N$5:$N$271,MATCH(TRUE,EXACT(A143,$O$5:$O$271),)),"")</f>
        <v/>
      </c>
      <c r="J143" s="25">
        <f>IF(I143="","",IF(E143="","",G143))</f>
        <v/>
      </c>
      <c r="K143" s="26" t="n"/>
      <c r="N143" s="28" t="inlineStr">
        <is>
          <t>Pizza</t>
        </is>
      </c>
      <c r="O143" s="29" t="inlineStr">
        <is>
          <t>.</t>
        </is>
      </c>
    </row>
    <row r="144">
      <c r="A144" s="15" t="inlineStr">
        <is>
          <t>LunchD Junket</t>
        </is>
      </c>
      <c r="B144" s="18" t="n">
        <v>352</v>
      </c>
      <c r="C144" s="73" t="n">
        <v>0.00225698463006291</v>
      </c>
      <c r="D144" s="73" t="n">
        <v>0.0031092714588313</v>
      </c>
      <c r="E144" s="73" t="n">
        <v>0.06694560669456071</v>
      </c>
      <c r="F144" s="18" t="n">
        <v>0</v>
      </c>
      <c r="G144" s="20" t="n">
        <v>11</v>
      </c>
      <c r="H144" s="18" t="n">
        <v>32</v>
      </c>
      <c r="I144">
        <f t="array" ref="I144">IFERROR(INDEX($N$5:$N$271,MATCH(TRUE,EXACT(A144,$O$5:$O$271),)),"")</f>
        <v/>
      </c>
      <c r="J144" s="25">
        <f>IF(I144="","",IF(E144="","",G144))</f>
        <v/>
      </c>
      <c r="K144" s="26" t="n"/>
      <c r="N144" s="28" t="inlineStr">
        <is>
          <t>Pizza</t>
        </is>
      </c>
      <c r="O144" s="29" t="inlineStr">
        <is>
          <t>.</t>
        </is>
      </c>
    </row>
    <row r="145">
      <c r="A145" s="15" t="inlineStr">
        <is>
          <t>Traditional Afternoon Tea</t>
        </is>
      </c>
      <c r="B145" s="18" t="n">
        <v>300</v>
      </c>
      <c r="C145" s="73" t="n">
        <v>0.00192356644607634</v>
      </c>
      <c r="D145" s="73" t="n">
        <v>0.00264994726604941</v>
      </c>
      <c r="E145" s="73" t="n">
        <v>0.0570559147965006</v>
      </c>
      <c r="F145" s="18" t="n">
        <v>0</v>
      </c>
      <c r="G145" s="20" t="n">
        <v>5</v>
      </c>
      <c r="H145" s="18" t="n">
        <v>60</v>
      </c>
      <c r="I145">
        <f t="array" ref="I145">IFERROR(INDEX($N$5:$N$271,MATCH(TRUE,EXACT(A145,$O$5:$O$271),)),"")</f>
        <v/>
      </c>
      <c r="J145" s="25">
        <f>IF(I145="","",IF(E145="","",G145))</f>
        <v/>
      </c>
      <c r="K145" s="26" t="n"/>
      <c r="N145" s="28" t="inlineStr">
        <is>
          <t>Pizza</t>
        </is>
      </c>
      <c r="O145" s="29" t="inlineStr">
        <is>
          <t>.</t>
        </is>
      </c>
    </row>
    <row r="146">
      <c r="A146" s="17" t="inlineStr">
        <is>
          <t>Salads</t>
        </is>
      </c>
      <c r="B146" s="13" t="n">
        <v>3815</v>
      </c>
      <c r="C146" s="70" t="n">
        <v>0.0244613533059375</v>
      </c>
      <c r="D146" s="70" t="n">
        <v>0.0336984960665949</v>
      </c>
      <c r="E146" s="15" t="inlineStr"/>
      <c r="F146" s="13" t="n">
        <v>0</v>
      </c>
      <c r="G146" s="16" t="n">
        <v>197</v>
      </c>
      <c r="H146" s="13" t="n">
        <v>19.3654822335025</v>
      </c>
      <c r="I146">
        <f t="array" ref="I146">IFERROR(INDEX($N$5:$N$271,MATCH(TRUE,EXACT(A146,$O$5:$O$271),)),"")</f>
        <v/>
      </c>
      <c r="J146" s="25">
        <f>IF(I146="","",IF(E146="","",G146))</f>
        <v/>
      </c>
      <c r="K146" s="26" t="n"/>
      <c r="N146" s="28" t="inlineStr">
        <is>
          <t>Pizza</t>
        </is>
      </c>
      <c r="O146" s="29" t="inlineStr">
        <is>
          <t>.</t>
        </is>
      </c>
    </row>
    <row r="147">
      <c r="A147" s="15" t="inlineStr">
        <is>
          <t>Classic Ceasar Salad</t>
        </is>
      </c>
      <c r="B147" s="18" t="n">
        <v>1430</v>
      </c>
      <c r="C147" s="73" t="n">
        <v>0.009169000059630559</v>
      </c>
      <c r="D147" s="73" t="n">
        <v>0.0126314153015022</v>
      </c>
      <c r="E147" s="73" t="n">
        <v>0.374836173001311</v>
      </c>
      <c r="F147" s="18" t="n">
        <v>0</v>
      </c>
      <c r="G147" s="20" t="n">
        <v>65</v>
      </c>
      <c r="H147" s="18" t="n">
        <v>22</v>
      </c>
      <c r="I147">
        <f t="array" ref="I147">IFERROR(INDEX($N$5:$N$271,MATCH(TRUE,EXACT(A147,$O$5:$O$271),)),"")</f>
        <v/>
      </c>
      <c r="J147" s="25">
        <f>IF(I147="","",IF(E147="","",G147))</f>
        <v/>
      </c>
      <c r="K147" s="26" t="n">
        <v>1</v>
      </c>
      <c r="N147" s="28" t="inlineStr">
        <is>
          <t>Pizza</t>
        </is>
      </c>
      <c r="O147" s="29" t="inlineStr">
        <is>
          <t>.</t>
        </is>
      </c>
    </row>
    <row r="148" ht="14.75" customHeight="1">
      <c r="A148" s="15" t="inlineStr">
        <is>
          <t>SUM Cobb Salad</t>
        </is>
      </c>
      <c r="B148" s="18" t="n">
        <v>1210</v>
      </c>
      <c r="C148" s="73" t="n">
        <v>0.00775838466584124</v>
      </c>
      <c r="D148" s="73" t="n">
        <v>0.0106881206397326</v>
      </c>
      <c r="E148" s="73" t="n">
        <v>0.317169069462647</v>
      </c>
      <c r="F148" s="18" t="n">
        <v>0</v>
      </c>
      <c r="G148" s="20" t="n">
        <v>55</v>
      </c>
      <c r="H148" s="18" t="n">
        <v>22</v>
      </c>
      <c r="I148">
        <f t="array" ref="I148">IFERROR(INDEX($N$5:$N$271,MATCH(TRUE,EXACT(A148,$O$5:$O$271),)),"")</f>
        <v/>
      </c>
      <c r="J148" s="25">
        <f>IF(I148="","",IF(E148="","",G148))</f>
        <v/>
      </c>
      <c r="K148" s="26" t="n">
        <v>2</v>
      </c>
      <c r="N148" s="28" t="inlineStr">
        <is>
          <t>Pizza</t>
        </is>
      </c>
      <c r="O148" s="29" t="inlineStr">
        <is>
          <t>.</t>
        </is>
      </c>
    </row>
    <row r="149" ht="14.75" customHeight="1">
      <c r="A149" s="15" t="inlineStr">
        <is>
          <t>Tomato Salad</t>
        </is>
      </c>
      <c r="B149" s="18" t="n">
        <v>330</v>
      </c>
      <c r="C149" s="73" t="n">
        <v>0.00211592309068398</v>
      </c>
      <c r="D149" s="73" t="n">
        <v>0.00291494199265435</v>
      </c>
      <c r="E149" s="73" t="n">
        <v>0.08650065530799481</v>
      </c>
      <c r="F149" s="18" t="n">
        <v>0</v>
      </c>
      <c r="G149" s="20" t="n">
        <v>15</v>
      </c>
      <c r="H149" s="18" t="n">
        <v>22</v>
      </c>
      <c r="I149">
        <f t="array" ref="I149">IFERROR(INDEX($N$5:$N$271,MATCH(TRUE,EXACT(A149,$O$5:$O$271),)),"")</f>
        <v/>
      </c>
      <c r="J149" s="25">
        <f>IF(I149="","",IF(E149="","",G149))</f>
        <v/>
      </c>
      <c r="K149" s="26" t="n">
        <v>3</v>
      </c>
      <c r="N149" s="30" t="inlineStr">
        <is>
          <t>Speciality</t>
        </is>
      </c>
      <c r="O149" s="29" t="inlineStr">
        <is>
          <t>Shawarma Chicken</t>
        </is>
      </c>
    </row>
    <row r="150">
      <c r="A150" s="15" t="inlineStr">
        <is>
          <t>Superfood Salad</t>
        </is>
      </c>
      <c r="B150" s="18" t="n">
        <v>252</v>
      </c>
      <c r="C150" s="73" t="n">
        <v>0.00161579581470413</v>
      </c>
      <c r="D150" s="73" t="n">
        <v>0.0022259557034815</v>
      </c>
      <c r="E150" s="73" t="n">
        <v>0.0660550458715596</v>
      </c>
      <c r="F150" s="18" t="n">
        <v>0</v>
      </c>
      <c r="G150" s="20" t="n">
        <v>14</v>
      </c>
      <c r="H150" s="18" t="n">
        <v>18</v>
      </c>
      <c r="I150">
        <f t="array" ref="I150">IFERROR(INDEX($N$5:$N$271,MATCH(TRUE,EXACT(A150,$O$5:$O$271),)),"")</f>
        <v/>
      </c>
      <c r="J150" s="25">
        <f>IF(I150="","",IF(E150="","",G150))</f>
        <v/>
      </c>
      <c r="K150" s="26" t="n">
        <v>4</v>
      </c>
      <c r="N150" s="28" t="inlineStr">
        <is>
          <t>Speciality</t>
        </is>
      </c>
      <c r="O150" s="29" t="inlineStr">
        <is>
          <t>Arab Mixed Grill</t>
        </is>
      </c>
    </row>
    <row r="151">
      <c r="A151" s="15" t="inlineStr">
        <is>
          <t>Beetroot Salad</t>
        </is>
      </c>
      <c r="B151" s="18" t="n">
        <v>180</v>
      </c>
      <c r="C151" s="73" t="n">
        <v>0.0011541398676458</v>
      </c>
      <c r="D151" s="73" t="n">
        <v>0.00158996835962964</v>
      </c>
      <c r="E151" s="73" t="n">
        <v>0.0471821756225426</v>
      </c>
      <c r="F151" s="18" t="n">
        <v>0</v>
      </c>
      <c r="G151" s="20" t="n">
        <v>10</v>
      </c>
      <c r="H151" s="18" t="n">
        <v>18</v>
      </c>
      <c r="I151">
        <f t="array" ref="I151">IFERROR(INDEX($N$5:$N$271,MATCH(TRUE,EXACT(A151,$O$5:$O$271),)),"")</f>
        <v/>
      </c>
      <c r="J151" s="25">
        <f>IF(I151="","",IF(E151="","",G151))</f>
        <v/>
      </c>
      <c r="K151" s="26" t="n">
        <v>5</v>
      </c>
      <c r="N151" s="28" t="inlineStr">
        <is>
          <t>Speciality</t>
        </is>
      </c>
      <c r="O151" s="29" t="inlineStr">
        <is>
          <t>Humus/Pitta</t>
        </is>
      </c>
    </row>
    <row r="152">
      <c r="A152" s="15" t="inlineStr">
        <is>
          <t>Chicken for Salad</t>
        </is>
      </c>
      <c r="B152" s="18" t="n">
        <v>110</v>
      </c>
      <c r="C152" s="73" t="n">
        <v>0.000705307696894658</v>
      </c>
      <c r="D152" s="73" t="n">
        <v>0.000971647330884782</v>
      </c>
      <c r="E152" s="73" t="n">
        <v>0.0288335517693316</v>
      </c>
      <c r="F152" s="18" t="n">
        <v>0</v>
      </c>
      <c r="G152" s="20" t="n">
        <v>11</v>
      </c>
      <c r="H152" s="18" t="n">
        <v>10</v>
      </c>
      <c r="I152">
        <f t="array" ref="I152">IFERROR(INDEX($N$5:$N$271,MATCH(TRUE,EXACT(A152,$O$5:$O$271),)),"")</f>
        <v/>
      </c>
      <c r="J152" s="25">
        <f>IF(I152="","",IF(E152="","",G152))</f>
        <v/>
      </c>
      <c r="K152" s="26" t="n">
        <v>6</v>
      </c>
      <c r="N152" s="28" t="inlineStr">
        <is>
          <t>Speciality</t>
        </is>
      </c>
      <c r="O152" s="29" t="inlineStr">
        <is>
          <t>Baby Chix Arabic</t>
        </is>
      </c>
    </row>
    <row r="153">
      <c r="A153" s="15" t="inlineStr">
        <is>
          <t>Leaf Salad</t>
        </is>
      </c>
      <c r="B153" s="18" t="n">
        <v>90</v>
      </c>
      <c r="C153" s="73" t="n">
        <v>0.000577069933822902</v>
      </c>
      <c r="D153" s="73" t="n">
        <v>0.000794984179814822</v>
      </c>
      <c r="E153" s="73" t="n">
        <v>0.0235910878112713</v>
      </c>
      <c r="F153" s="18" t="n">
        <v>0</v>
      </c>
      <c r="G153" s="20" t="n">
        <v>9</v>
      </c>
      <c r="H153" s="18" t="n">
        <v>10</v>
      </c>
      <c r="I153">
        <f t="array" ref="I153">IFERROR(INDEX($N$5:$N$271,MATCH(TRUE,EXACT(A153,$O$5:$O$271),)),"")</f>
        <v/>
      </c>
      <c r="J153" s="25">
        <f>IF(I153="","",IF(E153="","",G153))</f>
        <v/>
      </c>
      <c r="K153" s="26" t="n">
        <v>7</v>
      </c>
      <c r="N153" s="28" t="inlineStr">
        <is>
          <t>Speciality</t>
        </is>
      </c>
      <c r="O153" s="29" t="inlineStr">
        <is>
          <t>Cold Mezzeh</t>
        </is>
      </c>
    </row>
    <row r="154">
      <c r="A154" s="15" t="inlineStr">
        <is>
          <t>Prawn for Salad</t>
        </is>
      </c>
      <c r="B154" s="18" t="n">
        <v>84</v>
      </c>
      <c r="C154" s="73" t="n">
        <v>0.000538598604901376</v>
      </c>
      <c r="D154" s="73" t="n">
        <v>0.000741985234493834</v>
      </c>
      <c r="E154" s="73" t="n">
        <v>0.0220183486238532</v>
      </c>
      <c r="F154" s="18" t="n">
        <v>0</v>
      </c>
      <c r="G154" s="20" t="n">
        <v>7</v>
      </c>
      <c r="H154" s="18" t="n">
        <v>12</v>
      </c>
      <c r="I154">
        <f t="array" ref="I154">IFERROR(INDEX($N$5:$N$271,MATCH(TRUE,EXACT(A154,$O$5:$O$271),)),"")</f>
        <v/>
      </c>
      <c r="J154" s="25">
        <f>IF(I154="","",IF(E154="","",G154))</f>
        <v/>
      </c>
      <c r="K154" s="26" t="n">
        <v>8</v>
      </c>
      <c r="N154" s="28" t="inlineStr">
        <is>
          <t>Speciality</t>
        </is>
      </c>
      <c r="O154" s="29" t="inlineStr">
        <is>
          <t>Hot Mezzeh</t>
        </is>
      </c>
    </row>
    <row r="155">
      <c r="A155" s="15" t="inlineStr">
        <is>
          <t>Salmon for Salad</t>
        </is>
      </c>
      <c r="B155" s="18" t="n">
        <v>50</v>
      </c>
      <c r="C155" s="73" t="n">
        <v>0.00032059440767939</v>
      </c>
      <c r="D155" s="73" t="n">
        <v>0.000441657877674901</v>
      </c>
      <c r="E155" s="73" t="n">
        <v>0.0131061598951507</v>
      </c>
      <c r="F155" s="18" t="n">
        <v>0</v>
      </c>
      <c r="G155" s="20" t="n">
        <v>5</v>
      </c>
      <c r="H155" s="18" t="n">
        <v>10</v>
      </c>
      <c r="I155">
        <f t="array" ref="I155">IFERROR(INDEX($N$5:$N$271,MATCH(TRUE,EXACT(A155,$O$5:$O$271),)),"")</f>
        <v/>
      </c>
      <c r="J155" s="25">
        <f>IF(I155="","",IF(E155="","",G155))</f>
        <v/>
      </c>
      <c r="K155" s="26" t="n">
        <v>9</v>
      </c>
      <c r="N155" s="28" t="inlineStr">
        <is>
          <t>Speciality</t>
        </is>
      </c>
      <c r="O155" s="29" t="inlineStr">
        <is>
          <t>Grilled Halloumi</t>
        </is>
      </c>
    </row>
    <row r="156">
      <c r="A156" s="15" t="inlineStr">
        <is>
          <t>Mix salad</t>
        </is>
      </c>
      <c r="B156" s="18" t="n">
        <v>36</v>
      </c>
      <c r="C156" s="73" t="n">
        <v>0.000230827973529161</v>
      </c>
      <c r="D156" s="73" t="n">
        <v>0.000317993671925929</v>
      </c>
      <c r="E156" s="73" t="n">
        <v>0.00943643512450852</v>
      </c>
      <c r="F156" s="18" t="n">
        <v>0</v>
      </c>
      <c r="G156" s="20" t="n">
        <v>3</v>
      </c>
      <c r="H156" s="18" t="n">
        <v>12</v>
      </c>
      <c r="I156">
        <f t="array" ref="I156">IFERROR(INDEX($N$5:$N$271,MATCH(TRUE,EXACT(A156,$O$5:$O$271),)),"")</f>
        <v/>
      </c>
      <c r="J156" s="25">
        <f>IF(I156="","",IF(E156="","",G156))</f>
        <v/>
      </c>
      <c r="K156" s="26" t="n">
        <v>10</v>
      </c>
      <c r="N156" s="28" t="inlineStr">
        <is>
          <t>Speciality</t>
        </is>
      </c>
      <c r="O156" s="29" t="inlineStr">
        <is>
          <t>Falafel</t>
        </is>
      </c>
    </row>
    <row r="157">
      <c r="A157" s="15" t="inlineStr">
        <is>
          <t>Vegan Bowl</t>
        </is>
      </c>
      <c r="B157" s="18" t="n">
        <v>18</v>
      </c>
      <c r="C157" s="73" t="n">
        <v>0.00011541398676458</v>
      </c>
      <c r="D157" s="73" t="n">
        <v>0.000158996835962964</v>
      </c>
      <c r="E157" s="73" t="n">
        <v>0.00471821756225426</v>
      </c>
      <c r="F157" s="18" t="n">
        <v>0</v>
      </c>
      <c r="G157" s="20" t="n">
        <v>1</v>
      </c>
      <c r="H157" s="18" t="n">
        <v>18</v>
      </c>
      <c r="I157">
        <f t="array" ref="I157">IFERROR(INDEX($N$5:$N$271,MATCH(TRUE,EXACT(A157,$O$5:$O$271),)),"")</f>
        <v/>
      </c>
      <c r="J157" s="25">
        <f>IF(I157="","",IF(E157="","",G157))</f>
        <v/>
      </c>
      <c r="K157" s="26" t="n">
        <v>11</v>
      </c>
      <c r="N157" s="28" t="inlineStr">
        <is>
          <t>Speciality</t>
        </is>
      </c>
      <c r="O157" s="29" t="inlineStr">
        <is>
          <t>Lamb Kibbeh</t>
        </is>
      </c>
    </row>
    <row r="158">
      <c r="A158" s="15" t="inlineStr">
        <is>
          <t>Vegan Salad Freekeh</t>
        </is>
      </c>
      <c r="B158" s="18" t="n">
        <v>15</v>
      </c>
      <c r="C158" s="73" t="n">
        <v>9.61783223038171e-05</v>
      </c>
      <c r="D158" s="73" t="n">
        <v>0.00013249736330247</v>
      </c>
      <c r="E158" s="73" t="n">
        <v>0.00393184796854522</v>
      </c>
      <c r="F158" s="18" t="n">
        <v>0</v>
      </c>
      <c r="G158" s="20" t="n">
        <v>1</v>
      </c>
      <c r="H158" s="18" t="n">
        <v>15</v>
      </c>
      <c r="I158">
        <f t="array" ref="I158">IFERROR(INDEX($N$5:$N$271,MATCH(TRUE,EXACT(A158,$O$5:$O$271),)),"")</f>
        <v/>
      </c>
      <c r="J158" s="25">
        <f>IF(I158="","",IF(E158="","",G158))</f>
        <v/>
      </c>
      <c r="K158" s="26" t="n">
        <v>12</v>
      </c>
      <c r="N158" s="28" t="inlineStr">
        <is>
          <t>Speciality</t>
        </is>
      </c>
      <c r="O158" s="29" t="inlineStr">
        <is>
          <t>Arabic Pickles Olives</t>
        </is>
      </c>
    </row>
    <row r="159">
      <c r="A159" s="15" t="inlineStr">
        <is>
          <t>Halloumi for Salad</t>
        </is>
      </c>
      <c r="B159" s="18" t="n">
        <v>10</v>
      </c>
      <c r="C159" s="73" t="n">
        <v>6.411888153587811e-05</v>
      </c>
      <c r="D159" s="73" t="n">
        <v>8.833157553498019e-05</v>
      </c>
      <c r="E159" s="73" t="n">
        <v>0.00262123197903014</v>
      </c>
      <c r="F159" s="18" t="n">
        <v>0</v>
      </c>
      <c r="G159" s="20" t="n">
        <v>1</v>
      </c>
      <c r="H159" s="18" t="n">
        <v>10</v>
      </c>
      <c r="I159">
        <f t="array" ref="I159">IFERROR(INDEX($N$5:$N$271,MATCH(TRUE,EXACT(A159,$O$5:$O$271),)),"")</f>
        <v/>
      </c>
      <c r="J159" s="25">
        <f>IF(I159="","",IF(E159="","",G159))</f>
        <v/>
      </c>
      <c r="K159" s="26" t="n">
        <v>13</v>
      </c>
      <c r="N159" s="28" t="inlineStr">
        <is>
          <t>Speciality</t>
        </is>
      </c>
      <c r="O159" s="29" t="inlineStr">
        <is>
          <t>Shakshouka</t>
        </is>
      </c>
    </row>
    <row r="160">
      <c r="A160" s="17" t="inlineStr">
        <is>
          <t>Pizza</t>
        </is>
      </c>
      <c r="B160" s="13" t="n">
        <v>3320</v>
      </c>
      <c r="C160" s="70" t="n">
        <v>0.0212874686699115</v>
      </c>
      <c r="D160" s="70" t="n">
        <v>0.0293260830776134</v>
      </c>
      <c r="E160" s="15" t="inlineStr"/>
      <c r="F160" s="13" t="n">
        <v>0</v>
      </c>
      <c r="G160" s="16" t="n">
        <v>212</v>
      </c>
      <c r="H160" s="13" t="n">
        <v>15.6603773584906</v>
      </c>
      <c r="I160">
        <f t="array" ref="I160">IFERROR(INDEX($N$5:$N$271,MATCH(TRUE,EXACT(A160,$O$5:$O$271),)),"")</f>
        <v/>
      </c>
      <c r="J160" s="25">
        <f>IF(I160="","",IF(E160="","",G160))</f>
        <v/>
      </c>
      <c r="K160" s="26" t="n"/>
      <c r="N160" s="28" t="inlineStr">
        <is>
          <t>Speciality</t>
        </is>
      </c>
      <c r="O160" s="29" t="inlineStr">
        <is>
          <t>Fattoush</t>
        </is>
      </c>
    </row>
    <row r="161">
      <c r="A161" s="15" t="inlineStr">
        <is>
          <t>Margherita Pizza</t>
        </is>
      </c>
      <c r="B161" s="18" t="n">
        <v>1680</v>
      </c>
      <c r="C161" s="73" t="n">
        <v>0.0107719720980275</v>
      </c>
      <c r="D161" s="73" t="n">
        <v>0.0148397046898767</v>
      </c>
      <c r="E161" s="73" t="n">
        <v>0.506024096385542</v>
      </c>
      <c r="F161" s="18" t="n">
        <v>0</v>
      </c>
      <c r="G161" s="20" t="n">
        <v>84</v>
      </c>
      <c r="H161" s="18" t="n">
        <v>20</v>
      </c>
      <c r="I161">
        <f t="array" ref="I161">IFERROR(INDEX($N$5:$N$271,MATCH(TRUE,EXACT(A161,$O$5:$O$271),)),"")</f>
        <v/>
      </c>
      <c r="J161" s="25">
        <f>IF(I161="","",IF(E161="","",G161))</f>
        <v/>
      </c>
      <c r="K161" s="26" t="n">
        <v>1</v>
      </c>
      <c r="N161" s="28" t="inlineStr">
        <is>
          <t>Speciality</t>
        </is>
      </c>
      <c r="O161" s="29" t="inlineStr">
        <is>
          <t>Tabouleh</t>
        </is>
      </c>
    </row>
    <row r="162">
      <c r="A162" s="15" t="inlineStr">
        <is>
          <t>Pepperoni Pizza</t>
        </is>
      </c>
      <c r="B162" s="18" t="n">
        <v>902</v>
      </c>
      <c r="C162" s="73" t="n">
        <v>0.0057835231145362</v>
      </c>
      <c r="D162" s="73" t="n">
        <v>0.007967508113255211</v>
      </c>
      <c r="E162" s="73" t="n">
        <v>0.271686746987952</v>
      </c>
      <c r="F162" s="18" t="n">
        <v>0</v>
      </c>
      <c r="G162" s="20" t="n">
        <v>41</v>
      </c>
      <c r="H162" s="18" t="n">
        <v>22</v>
      </c>
      <c r="I162">
        <f t="array" ref="I162">IFERROR(INDEX($N$5:$N$271,MATCH(TRUE,EXACT(A162,$O$5:$O$271),)),"")</f>
        <v/>
      </c>
      <c r="J162" s="25">
        <f>IF(I162="","",IF(E162="","",G162))</f>
        <v/>
      </c>
      <c r="K162" s="26" t="n">
        <v>2</v>
      </c>
      <c r="N162" s="28" t="inlineStr">
        <is>
          <t>Speciality</t>
        </is>
      </c>
      <c r="O162" s="29" t="inlineStr">
        <is>
          <t>Warak Enab</t>
        </is>
      </c>
    </row>
    <row r="163">
      <c r="A163" s="15" t="inlineStr">
        <is>
          <t>Homemade Pizza</t>
        </is>
      </c>
      <c r="B163" s="18" t="n">
        <v>738</v>
      </c>
      <c r="C163" s="73" t="n">
        <v>0.0047319734573478</v>
      </c>
      <c r="D163" s="73" t="n">
        <v>0.00651887027448154</v>
      </c>
      <c r="E163" s="73" t="n">
        <v>0.222289156626506</v>
      </c>
      <c r="F163" s="18" t="n">
        <v>0</v>
      </c>
      <c r="G163" s="20" t="n">
        <v>41</v>
      </c>
      <c r="H163" s="18" t="n">
        <v>18</v>
      </c>
      <c r="I163">
        <f t="array" ref="I163">IFERROR(INDEX($N$5:$N$271,MATCH(TRUE,EXACT(A163,$O$5:$O$271),)),"")</f>
        <v/>
      </c>
      <c r="J163" s="25">
        <f>IF(I163="","",IF(E163="","",G163))</f>
        <v/>
      </c>
      <c r="K163" s="26" t="n">
        <v>3</v>
      </c>
      <c r="N163" s="28" t="inlineStr">
        <is>
          <t>Speciality</t>
        </is>
      </c>
      <c r="O163" s="29" t="inlineStr">
        <is>
          <t>Moutabel</t>
        </is>
      </c>
    </row>
    <row r="164">
      <c r="A164" s="15" t="inlineStr">
        <is>
          <t>Extra Topping</t>
        </is>
      </c>
      <c r="B164" s="18" t="n">
        <v>0</v>
      </c>
      <c r="C164" s="73" t="n">
        <v>0</v>
      </c>
      <c r="D164" s="73" t="n">
        <v>0</v>
      </c>
      <c r="E164" s="73" t="n">
        <v>0</v>
      </c>
      <c r="F164" s="18" t="n">
        <v>0</v>
      </c>
      <c r="G164" s="20" t="n">
        <v>46</v>
      </c>
      <c r="H164" s="18" t="n">
        <v>0</v>
      </c>
      <c r="I164">
        <f t="array" ref="I164">IFERROR(INDEX($N$5:$N$271,MATCH(TRUE,EXACT(A164,$O$5:$O$271),)),"")</f>
        <v/>
      </c>
      <c r="J164" s="25">
        <f>IF(I164="","",IF(E164="","",G164))</f>
        <v/>
      </c>
      <c r="K164" s="26" t="n"/>
      <c r="N164" s="28" t="inlineStr">
        <is>
          <t>Speciality</t>
        </is>
      </c>
      <c r="O164" s="29" t="inlineStr">
        <is>
          <t>Pitta Bread</t>
        </is>
      </c>
    </row>
    <row r="165">
      <c r="A165" s="17" t="inlineStr">
        <is>
          <t>Desserts</t>
        </is>
      </c>
      <c r="B165" s="13" t="n">
        <v>3005.5</v>
      </c>
      <c r="C165" s="70" t="n">
        <v>0.0192709298456081</v>
      </c>
      <c r="D165" s="70" t="n">
        <v>0.0265480550270383</v>
      </c>
      <c r="E165" s="15" t="inlineStr"/>
      <c r="F165" s="13" t="n">
        <v>-30</v>
      </c>
      <c r="G165" s="16" t="n">
        <v>385</v>
      </c>
      <c r="H165" s="13" t="n">
        <v>7.80649350649351</v>
      </c>
      <c r="I165">
        <f t="array" ref="I165">IFERROR(INDEX($N$5:$N$271,MATCH(TRUE,EXACT(A165,$O$5:$O$271),)),"")</f>
        <v/>
      </c>
      <c r="J165" s="25">
        <f>IF(I165="","",IF(E165="","",G165))</f>
        <v/>
      </c>
      <c r="K165" s="26" t="n"/>
      <c r="N165" s="28" t="inlineStr">
        <is>
          <t>Speciality</t>
        </is>
      </c>
      <c r="O165" s="29" t="inlineStr">
        <is>
          <t>Labneh</t>
        </is>
      </c>
    </row>
    <row r="166">
      <c r="A166" s="15" t="inlineStr">
        <is>
          <t>Apple Crumble</t>
        </is>
      </c>
      <c r="B166" s="18" t="n">
        <v>924</v>
      </c>
      <c r="C166" s="73" t="n">
        <v>0.00592458465391513</v>
      </c>
      <c r="D166" s="73" t="n">
        <v>0.008161837579432171</v>
      </c>
      <c r="E166" s="73" t="n">
        <v>0.307436366661121</v>
      </c>
      <c r="F166" s="18" t="n">
        <v>0</v>
      </c>
      <c r="G166" s="20" t="n">
        <v>66</v>
      </c>
      <c r="H166" s="18" t="n">
        <v>14</v>
      </c>
      <c r="I166">
        <f t="array" ref="I166">IFERROR(INDEX($N$5:$N$271,MATCH(TRUE,EXACT(A166,$O$5:$O$271),)),"")</f>
        <v/>
      </c>
      <c r="J166" s="25">
        <f>IF(I166="","",IF(E166="","",G166))</f>
        <v/>
      </c>
      <c r="K166" s="26" t="n">
        <v>1</v>
      </c>
      <c r="N166" s="28" t="inlineStr">
        <is>
          <t>Speciality</t>
        </is>
      </c>
      <c r="O166" s="29" t="inlineStr">
        <is>
          <t>Foul Moudammas</t>
        </is>
      </c>
    </row>
    <row r="167">
      <c r="A167" s="15" t="inlineStr">
        <is>
          <t>Chocolate Fondant</t>
        </is>
      </c>
      <c r="B167" s="18" t="n">
        <v>532</v>
      </c>
      <c r="C167" s="73" t="n">
        <v>0.00341112449770871</v>
      </c>
      <c r="D167" s="73" t="n">
        <v>0.00469923981846095</v>
      </c>
      <c r="E167" s="73" t="n">
        <v>0.177008817168524</v>
      </c>
      <c r="F167" s="18" t="n">
        <v>0</v>
      </c>
      <c r="G167" s="20" t="n">
        <v>38</v>
      </c>
      <c r="H167" s="18" t="n">
        <v>14</v>
      </c>
      <c r="I167">
        <f t="array" ref="I167">IFERROR(INDEX($N$5:$N$271,MATCH(TRUE,EXACT(A167,$O$5:$O$271),)),"")</f>
        <v/>
      </c>
      <c r="J167" s="25">
        <f>IF(I167="","",IF(E167="","",G167))</f>
        <v/>
      </c>
      <c r="K167" s="26" t="n">
        <v>2</v>
      </c>
      <c r="N167" s="28" t="inlineStr">
        <is>
          <t>Speciality</t>
        </is>
      </c>
      <c r="O167" s="29" t="inlineStr">
        <is>
          <t>Cheese Sambousek</t>
        </is>
      </c>
    </row>
    <row r="168">
      <c r="A168" s="15" t="inlineStr">
        <is>
          <t>Brulee</t>
        </is>
      </c>
      <c r="B168" s="18" t="n">
        <v>392</v>
      </c>
      <c r="C168" s="73" t="n">
        <v>0.00251346015620642</v>
      </c>
      <c r="D168" s="73" t="n">
        <v>0.00346259776097122</v>
      </c>
      <c r="E168" s="73" t="n">
        <v>0.130427549492597</v>
      </c>
      <c r="F168" s="18" t="n">
        <v>0</v>
      </c>
      <c r="G168" s="20" t="n">
        <v>28</v>
      </c>
      <c r="H168" s="18" t="n">
        <v>14</v>
      </c>
      <c r="I168">
        <f t="array" ref="I168">IFERROR(INDEX($N$5:$N$271,MATCH(TRUE,EXACT(A168,$O$5:$O$271),)),"")</f>
        <v/>
      </c>
      <c r="J168" s="25">
        <f>IF(I168="","",IF(E168="","",G168))</f>
        <v/>
      </c>
      <c r="K168" s="26" t="n">
        <v>3</v>
      </c>
      <c r="N168" s="28" t="inlineStr">
        <is>
          <t>Speciality</t>
        </is>
      </c>
      <c r="O168" s="29" t="inlineStr">
        <is>
          <t>.</t>
        </is>
      </c>
    </row>
    <row r="169">
      <c r="A169" s="15" t="inlineStr">
        <is>
          <t>Cheese Board</t>
        </is>
      </c>
      <c r="B169" s="18" t="n">
        <v>359</v>
      </c>
      <c r="C169" s="73" t="n">
        <v>0.00230186784713802</v>
      </c>
      <c r="D169" s="73" t="n">
        <v>0.00317110356170579</v>
      </c>
      <c r="E169" s="73" t="n">
        <v>0.1194476792547</v>
      </c>
      <c r="F169" s="18" t="n">
        <v>0</v>
      </c>
      <c r="G169" s="20" t="n">
        <v>27</v>
      </c>
      <c r="H169" s="18" t="n">
        <v>13.2962962962963</v>
      </c>
      <c r="I169">
        <f t="array" ref="I169">IFERROR(INDEX($N$5:$N$271,MATCH(TRUE,EXACT(A169,$O$5:$O$271),)),"")</f>
        <v/>
      </c>
      <c r="J169" s="25">
        <f>IF(I169="","",IF(E169="","",G169))</f>
        <v/>
      </c>
      <c r="K169" s="26" t="n">
        <v>4</v>
      </c>
      <c r="N169" s="28" t="inlineStr">
        <is>
          <t>Speciality</t>
        </is>
      </c>
      <c r="O169" s="29" t="inlineStr">
        <is>
          <t>.</t>
        </is>
      </c>
    </row>
    <row r="170">
      <c r="A170" s="15" t="inlineStr">
        <is>
          <t>Dipped Strawberry</t>
        </is>
      </c>
      <c r="B170" s="18" t="n">
        <v>226.5</v>
      </c>
      <c r="C170" s="73" t="n">
        <v>0.00145229266678764</v>
      </c>
      <c r="D170" s="73" t="n">
        <v>0.0020007101858673</v>
      </c>
      <c r="E170" s="73" t="n">
        <v>0.0753618366328398</v>
      </c>
      <c r="F170" s="18" t="n">
        <v>0</v>
      </c>
      <c r="G170" s="20" t="n">
        <v>151</v>
      </c>
      <c r="H170" s="18" t="n">
        <v>1.5</v>
      </c>
      <c r="I170">
        <f t="array" ref="I170">IFERROR(INDEX($N$5:$N$271,MATCH(TRUE,EXACT(A170,$O$5:$O$271),)),"")</f>
        <v/>
      </c>
      <c r="J170" s="25">
        <f>IF(I170="","",IF(E170="","",G170))</f>
        <v/>
      </c>
      <c r="K170" s="26" t="n">
        <v>5</v>
      </c>
      <c r="N170" s="28" t="inlineStr">
        <is>
          <t>Speciality</t>
        </is>
      </c>
      <c r="O170" s="29" t="inlineStr">
        <is>
          <t>.</t>
        </is>
      </c>
    </row>
    <row r="171">
      <c r="A171" s="15" t="inlineStr">
        <is>
          <t>Ice Cream 3 Sc</t>
        </is>
      </c>
      <c r="B171" s="18" t="n">
        <v>152</v>
      </c>
      <c r="C171" s="73" t="n">
        <v>0.000974606999345346</v>
      </c>
      <c r="D171" s="73" t="n">
        <v>0.0013426399481317</v>
      </c>
      <c r="E171" s="73" t="n">
        <v>0.0505739477624355</v>
      </c>
      <c r="F171" s="18" t="n">
        <v>0</v>
      </c>
      <c r="G171" s="20" t="n">
        <v>19</v>
      </c>
      <c r="H171" s="18" t="n">
        <v>8</v>
      </c>
      <c r="I171">
        <f t="array" ref="I171">IFERROR(INDEX($N$5:$N$271,MATCH(TRUE,EXACT(A171,$O$5:$O$271),)),"")</f>
        <v/>
      </c>
      <c r="J171" s="25">
        <f>IF(I171="","",IF(E171="","",G171))</f>
        <v/>
      </c>
      <c r="K171" s="26" t="n">
        <v>6</v>
      </c>
      <c r="N171" s="28" t="inlineStr">
        <is>
          <t>Speciality</t>
        </is>
      </c>
      <c r="O171" s="29" t="inlineStr">
        <is>
          <t>.</t>
        </is>
      </c>
    </row>
    <row r="172">
      <c r="A172" s="15" t="inlineStr">
        <is>
          <t>Ice Cream 1 Sc</t>
        </is>
      </c>
      <c r="B172" s="18" t="n">
        <v>100</v>
      </c>
      <c r="C172" s="73" t="n">
        <v>0.00064118881535878</v>
      </c>
      <c r="D172" s="73" t="n">
        <v>0.000883315755349802</v>
      </c>
      <c r="E172" s="73" t="n">
        <v>0.0332723340542339</v>
      </c>
      <c r="F172" s="18" t="n">
        <v>0</v>
      </c>
      <c r="G172" s="20" t="n">
        <v>25</v>
      </c>
      <c r="H172" s="18" t="n">
        <v>4</v>
      </c>
      <c r="I172">
        <f t="array" ref="I172">IFERROR(INDEX($N$5:$N$271,MATCH(TRUE,EXACT(A172,$O$5:$O$271),)),"")</f>
        <v/>
      </c>
      <c r="J172" s="25">
        <f>IF(I172="","",IF(E172="","",G172))</f>
        <v/>
      </c>
      <c r="K172" s="26" t="n">
        <v>7</v>
      </c>
      <c r="N172" s="28" t="inlineStr">
        <is>
          <t>Speciality</t>
        </is>
      </c>
      <c r="O172" s="29" t="inlineStr">
        <is>
          <t>.</t>
        </is>
      </c>
    </row>
    <row r="173">
      <c r="A173" s="15" t="inlineStr">
        <is>
          <t>Choc Brownie</t>
        </is>
      </c>
      <c r="B173" s="18" t="n">
        <v>72</v>
      </c>
      <c r="C173" s="73" t="n">
        <v>0.000461655947058322</v>
      </c>
      <c r="D173" s="73" t="n">
        <v>0.000635987343851857</v>
      </c>
      <c r="E173" s="73" t="n">
        <v>0.0239560805190484</v>
      </c>
      <c r="F173" s="18" t="n">
        <v>0</v>
      </c>
      <c r="G173" s="20" t="n">
        <v>6</v>
      </c>
      <c r="H173" s="18" t="n">
        <v>12</v>
      </c>
      <c r="I173">
        <f t="array" ref="I173">IFERROR(INDEX($N$5:$N$271,MATCH(TRUE,EXACT(A173,$O$5:$O$271),)),"")</f>
        <v/>
      </c>
      <c r="J173" s="25">
        <f>IF(I173="","",IF(E173="","",G173))</f>
        <v/>
      </c>
      <c r="K173" s="26" t="n">
        <v>8</v>
      </c>
      <c r="N173" s="28" t="inlineStr">
        <is>
          <t>Speciality</t>
        </is>
      </c>
      <c r="O173" s="29" t="inlineStr">
        <is>
          <t>.</t>
        </is>
      </c>
    </row>
    <row r="174">
      <c r="A174" s="15" t="inlineStr">
        <is>
          <t>Afternoon Tea Scones</t>
        </is>
      </c>
      <c r="B174" s="18" t="n">
        <v>60</v>
      </c>
      <c r="C174" s="73" t="n">
        <v>0.000384713289215268</v>
      </c>
      <c r="D174" s="73" t="n">
        <v>0.000529989453209881</v>
      </c>
      <c r="E174" s="73" t="n">
        <v>0.0199634004325403</v>
      </c>
      <c r="F174" s="18" t="n">
        <v>0</v>
      </c>
      <c r="G174" s="20" t="n">
        <v>4</v>
      </c>
      <c r="H174" s="18" t="n">
        <v>15</v>
      </c>
      <c r="I174">
        <f t="array" ref="I174">IFERROR(INDEX($N$5:$N$271,MATCH(TRUE,EXACT(A174,$O$5:$O$271),)),"")</f>
        <v/>
      </c>
      <c r="J174" s="25">
        <f>IF(I174="","",IF(E174="","",G174))</f>
        <v/>
      </c>
      <c r="K174" s="26" t="n">
        <v>9</v>
      </c>
      <c r="N174" s="28" t="inlineStr">
        <is>
          <t>Speciality</t>
        </is>
      </c>
      <c r="O174" s="29" t="inlineStr">
        <is>
          <t>.</t>
        </is>
      </c>
    </row>
    <row r="175">
      <c r="A175" s="15" t="inlineStr">
        <is>
          <t>Large Fruit Plate</t>
        </is>
      </c>
      <c r="B175" s="18" t="n">
        <v>52</v>
      </c>
      <c r="C175" s="73" t="n">
        <v>0.000333418183986566</v>
      </c>
      <c r="D175" s="73" t="n">
        <v>0.000459324192781897</v>
      </c>
      <c r="E175" s="73" t="n">
        <v>0.0173016137082016</v>
      </c>
      <c r="F175" s="18" t="n">
        <v>0</v>
      </c>
      <c r="G175" s="20" t="n">
        <v>1</v>
      </c>
      <c r="H175" s="18" t="n">
        <v>52</v>
      </c>
      <c r="I175">
        <f t="array" ref="I175">IFERROR(INDEX($N$5:$N$271,MATCH(TRUE,EXACT(A175,$O$5:$O$271),)),"")</f>
        <v/>
      </c>
      <c r="J175" s="25">
        <f>IF(I175="","",IF(E175="","",G175))</f>
        <v/>
      </c>
      <c r="K175" s="26" t="n">
        <v>10</v>
      </c>
      <c r="N175" s="28" t="inlineStr">
        <is>
          <t>Speciality</t>
        </is>
      </c>
      <c r="O175" s="29" t="inlineStr">
        <is>
          <t>.</t>
        </is>
      </c>
    </row>
    <row r="176">
      <c r="A176" s="15" t="inlineStr">
        <is>
          <t>Afternoon Tea Pastry</t>
        </is>
      </c>
      <c r="B176" s="18" t="n">
        <v>45</v>
      </c>
      <c r="C176" s="73" t="n">
        <v>0.000288534966911451</v>
      </c>
      <c r="D176" s="73" t="n">
        <v>0.000397492089907411</v>
      </c>
      <c r="E176" s="73" t="n">
        <v>0.0149725503244053</v>
      </c>
      <c r="F176" s="18" t="n">
        <v>-15</v>
      </c>
      <c r="G176" s="20" t="n">
        <v>4</v>
      </c>
      <c r="H176" s="18" t="n">
        <v>11.25</v>
      </c>
      <c r="I176">
        <f t="array" ref="I176">IFERROR(INDEX($N$5:$N$271,MATCH(TRUE,EXACT(A176,$O$5:$O$271),)),"")</f>
        <v/>
      </c>
      <c r="J176" s="25">
        <f>IF(I176="","",IF(E176="","",G176))</f>
        <v/>
      </c>
      <c r="K176" s="26" t="n">
        <v>11</v>
      </c>
      <c r="N176" s="28" t="inlineStr">
        <is>
          <t>Speciality</t>
        </is>
      </c>
      <c r="O176" s="29" t="inlineStr">
        <is>
          <t>.</t>
        </is>
      </c>
    </row>
    <row r="177">
      <c r="A177" s="15" t="inlineStr">
        <is>
          <t>Baklava</t>
        </is>
      </c>
      <c r="B177" s="18" t="n">
        <v>45</v>
      </c>
      <c r="C177" s="73" t="n">
        <v>0.000288534966911451</v>
      </c>
      <c r="D177" s="73" t="n">
        <v>0.000397492089907411</v>
      </c>
      <c r="E177" s="73" t="n">
        <v>0.0149725503244053</v>
      </c>
      <c r="F177" s="18" t="n">
        <v>-15</v>
      </c>
      <c r="G177" s="20" t="n">
        <v>4</v>
      </c>
      <c r="H177" s="18" t="n">
        <v>11.25</v>
      </c>
      <c r="I177">
        <f t="array" ref="I177">IFERROR(INDEX($N$5:$N$271,MATCH(TRUE,EXACT(A177,$O$5:$O$271),)),"")</f>
        <v/>
      </c>
      <c r="J177" s="25">
        <f>IF(I177="","",IF(E177="","",G177))</f>
        <v/>
      </c>
      <c r="K177" s="26" t="n">
        <v>12</v>
      </c>
      <c r="N177" s="28" t="inlineStr">
        <is>
          <t>Speciality</t>
        </is>
      </c>
      <c r="O177" s="29" t="inlineStr">
        <is>
          <t>.</t>
        </is>
      </c>
    </row>
    <row r="178" ht="14.75" customHeight="1">
      <c r="A178" s="15" t="inlineStr">
        <is>
          <t>Cheesecake</t>
        </is>
      </c>
      <c r="B178" s="18" t="n">
        <v>12</v>
      </c>
      <c r="C178" s="73" t="n">
        <v>7.69426578430537e-05</v>
      </c>
      <c r="D178" s="73" t="n">
        <v>0.000105997890641976</v>
      </c>
      <c r="E178" s="73" t="n">
        <v>0.00399268008650807</v>
      </c>
      <c r="F178" s="18" t="n">
        <v>0</v>
      </c>
      <c r="G178" s="20" t="n">
        <v>1</v>
      </c>
      <c r="H178" s="18" t="n">
        <v>12</v>
      </c>
      <c r="I178">
        <f t="array" ref="I178">IFERROR(INDEX($N$5:$N$271,MATCH(TRUE,EXACT(A178,$O$5:$O$271),)),"")</f>
        <v/>
      </c>
      <c r="J178" s="25">
        <f>IF(I178="","",IF(E178="","",G178))</f>
        <v/>
      </c>
      <c r="K178" s="26" t="n">
        <v>13</v>
      </c>
      <c r="N178" s="28" t="inlineStr">
        <is>
          <t>Speciality</t>
        </is>
      </c>
      <c r="O178" s="29" t="inlineStr">
        <is>
          <t>.</t>
        </is>
      </c>
    </row>
    <row r="179" ht="14.75" customHeight="1">
      <c r="A179" s="15" t="inlineStr">
        <is>
          <t>Vegan Brownie</t>
        </is>
      </c>
      <c r="B179" s="18" t="n">
        <v>12</v>
      </c>
      <c r="C179" s="73" t="n">
        <v>7.69426578430537e-05</v>
      </c>
      <c r="D179" s="73" t="n">
        <v>0.000105997890641976</v>
      </c>
      <c r="E179" s="73" t="n">
        <v>0.00399268008650807</v>
      </c>
      <c r="F179" s="18" t="n">
        <v>0</v>
      </c>
      <c r="G179" s="20" t="n">
        <v>1</v>
      </c>
      <c r="H179" s="18" t="n">
        <v>12</v>
      </c>
      <c r="I179">
        <f t="array" ref="I179">IFERROR(INDEX($N$5:$N$271,MATCH(TRUE,EXACT(A179,$O$5:$O$271),)),"")</f>
        <v/>
      </c>
      <c r="J179" s="25">
        <f>IF(I179="","",IF(E179="","",G179))</f>
        <v/>
      </c>
      <c r="K179" s="26" t="n">
        <v>14</v>
      </c>
      <c r="N179" s="30" t="inlineStr">
        <is>
          <t>Salads</t>
        </is>
      </c>
      <c r="O179" s="29" t="inlineStr">
        <is>
          <t>Classic Ceasar Salad</t>
        </is>
      </c>
    </row>
    <row r="180">
      <c r="A180" s="15" t="inlineStr">
        <is>
          <t>Vegan Eaton Mess</t>
        </is>
      </c>
      <c r="B180" s="18" t="n">
        <v>12</v>
      </c>
      <c r="C180" s="73" t="n">
        <v>7.69426578430537e-05</v>
      </c>
      <c r="D180" s="73" t="n">
        <v>0.000105997890641976</v>
      </c>
      <c r="E180" s="73" t="n">
        <v>0.00399268008650807</v>
      </c>
      <c r="F180" s="18" t="n">
        <v>0</v>
      </c>
      <c r="G180" s="20" t="n">
        <v>1</v>
      </c>
      <c r="H180" s="18" t="n">
        <v>12</v>
      </c>
      <c r="I180">
        <f t="array" ref="I180">IFERROR(INDEX($N$5:$N$271,MATCH(TRUE,EXACT(A180,$O$5:$O$271),)),"")</f>
        <v/>
      </c>
      <c r="J180" s="25">
        <f>IF(I180="","",IF(E180="","",G180))</f>
        <v/>
      </c>
      <c r="K180" s="26" t="n">
        <v>15</v>
      </c>
      <c r="N180" s="28" t="inlineStr">
        <is>
          <t>Salads</t>
        </is>
      </c>
      <c r="O180" s="29" t="inlineStr">
        <is>
          <t>SUM Cobb Salad</t>
        </is>
      </c>
    </row>
    <row r="181">
      <c r="A181" s="15" t="inlineStr">
        <is>
          <t>Single Scone</t>
        </is>
      </c>
      <c r="B181" s="18" t="n">
        <v>10</v>
      </c>
      <c r="C181" s="73" t="n">
        <v>6.411888153587811e-05</v>
      </c>
      <c r="D181" s="73" t="n">
        <v>8.833157553498019e-05</v>
      </c>
      <c r="E181" s="73" t="n">
        <v>0.00332723340542339</v>
      </c>
      <c r="F181" s="18" t="n">
        <v>0</v>
      </c>
      <c r="G181" s="20" t="n">
        <v>4</v>
      </c>
      <c r="H181" s="18" t="n">
        <v>2.5</v>
      </c>
      <c r="I181">
        <f t="array" ref="I181">IFERROR(INDEX($N$5:$N$271,MATCH(TRUE,EXACT(A181,$O$5:$O$271),)),"")</f>
        <v/>
      </c>
      <c r="J181" s="25">
        <f>IF(I181="","",IF(E181="","",G181))</f>
        <v/>
      </c>
      <c r="K181" s="26" t="n">
        <v>16</v>
      </c>
      <c r="N181" s="28" t="inlineStr">
        <is>
          <t>Salads</t>
        </is>
      </c>
      <c r="O181" s="29" t="inlineStr">
        <is>
          <t>Tomato Salad</t>
        </is>
      </c>
    </row>
    <row r="182">
      <c r="A182" s="15" t="inlineStr">
        <is>
          <t>Scones and Fancies AT</t>
        </is>
      </c>
      <c r="B182" s="18" t="n">
        <v>0</v>
      </c>
      <c r="C182" s="73" t="n">
        <v>0</v>
      </c>
      <c r="D182" s="73" t="n">
        <v>0</v>
      </c>
      <c r="E182" s="73" t="n">
        <v>0</v>
      </c>
      <c r="F182" s="18" t="n">
        <v>0</v>
      </c>
      <c r="G182" s="20" t="n">
        <v>5</v>
      </c>
      <c r="H182" s="18" t="n">
        <v>0</v>
      </c>
      <c r="I182">
        <f t="array" ref="I182">IFERROR(INDEX($N$5:$N$271,MATCH(TRUE,EXACT(A182,$O$5:$O$271),)),"")</f>
        <v/>
      </c>
      <c r="J182" s="25">
        <f>IF(I182="","",IF(E182="","",G182))</f>
        <v/>
      </c>
      <c r="K182" s="26" t="n"/>
      <c r="N182" s="28" t="inlineStr">
        <is>
          <t>Salads</t>
        </is>
      </c>
      <c r="O182" s="29" t="inlineStr">
        <is>
          <t>Superfood Salad</t>
        </is>
      </c>
    </row>
    <row r="183">
      <c r="A183" s="17" t="inlineStr">
        <is>
          <t>Side Dishes</t>
        </is>
      </c>
      <c r="B183" s="13" t="n">
        <v>2972.2</v>
      </c>
      <c r="C183" s="70" t="n">
        <v>0.0190574139700937</v>
      </c>
      <c r="D183" s="70" t="n">
        <v>0.0262539108805068</v>
      </c>
      <c r="E183" s="15" t="inlineStr"/>
      <c r="F183" s="13" t="n">
        <v>-2.8</v>
      </c>
      <c r="G183" s="16" t="n">
        <v>425</v>
      </c>
      <c r="H183" s="13" t="n">
        <v>6.99341176470588</v>
      </c>
      <c r="I183">
        <f t="array" ref="I183">IFERROR(INDEX($N$5:$N$271,MATCH(TRUE,EXACT(A183,$O$5:$O$271),)),"")</f>
        <v/>
      </c>
      <c r="J183" s="25">
        <f>IF(I183="","",IF(E183="","",G183))</f>
        <v/>
      </c>
      <c r="K183" s="26" t="n"/>
      <c r="N183" s="28" t="inlineStr">
        <is>
          <t>Salads</t>
        </is>
      </c>
      <c r="O183" s="29" t="inlineStr">
        <is>
          <t>Beetroot Salad</t>
        </is>
      </c>
    </row>
    <row r="184">
      <c r="A184" s="15" t="inlineStr">
        <is>
          <t>Fries</t>
        </is>
      </c>
      <c r="B184" s="18" t="n">
        <v>1321.6</v>
      </c>
      <c r="C184" s="73" t="n">
        <v>0.008473951383781641</v>
      </c>
      <c r="D184" s="73" t="n">
        <v>0.011673901022703</v>
      </c>
      <c r="E184" s="73" t="n">
        <v>0.444653791804051</v>
      </c>
      <c r="F184" s="18" t="n">
        <v>-1.4</v>
      </c>
      <c r="G184" s="20" t="n">
        <v>189</v>
      </c>
      <c r="H184" s="18" t="n">
        <v>6.99259259259259</v>
      </c>
      <c r="I184">
        <f t="array" ref="I184">IFERROR(INDEX($N$5:$N$271,MATCH(TRUE,EXACT(A184,$O$5:$O$271),)),"")</f>
        <v/>
      </c>
      <c r="J184" s="25">
        <f>IF(I184="","",IF(E184="","",G184))</f>
        <v/>
      </c>
      <c r="K184" s="26" t="n">
        <v>1</v>
      </c>
      <c r="N184" s="28" t="inlineStr">
        <is>
          <t>Salads</t>
        </is>
      </c>
      <c r="O184" s="29" t="inlineStr">
        <is>
          <t>Chicken for Salad</t>
        </is>
      </c>
    </row>
    <row r="185">
      <c r="A185" s="15" t="inlineStr">
        <is>
          <t>SUM French Fries</t>
        </is>
      </c>
      <c r="B185" s="18" t="n">
        <v>685.3</v>
      </c>
      <c r="C185" s="73" t="n">
        <v>0.00439406695165372</v>
      </c>
      <c r="D185" s="73" t="n">
        <v>0.00605336287141219</v>
      </c>
      <c r="E185" s="73" t="n">
        <v>0.230569948186528</v>
      </c>
      <c r="F185" s="18" t="n">
        <v>-0.7</v>
      </c>
      <c r="G185" s="20" t="n">
        <v>98</v>
      </c>
      <c r="H185" s="18" t="n">
        <v>6.99285714285714</v>
      </c>
      <c r="I185">
        <f t="array" ref="I185">IFERROR(INDEX($N$5:$N$271,MATCH(TRUE,EXACT(A185,$O$5:$O$271),)),"")</f>
        <v/>
      </c>
      <c r="J185" s="25">
        <f>IF(I185="","",IF(E185="","",G185))</f>
        <v/>
      </c>
      <c r="K185" s="26" t="n">
        <v>2</v>
      </c>
      <c r="N185" s="28" t="inlineStr">
        <is>
          <t>Salads</t>
        </is>
      </c>
      <c r="O185" s="29" t="inlineStr">
        <is>
          <t>Leaf Salad</t>
        </is>
      </c>
    </row>
    <row r="186">
      <c r="A186" s="15" t="inlineStr">
        <is>
          <t>Chili Garlic Broccoli</t>
        </is>
      </c>
      <c r="B186" s="18" t="n">
        <v>364</v>
      </c>
      <c r="C186" s="73" t="n">
        <v>0.00233392728790596</v>
      </c>
      <c r="D186" s="73" t="n">
        <v>0.00321526934947328</v>
      </c>
      <c r="E186" s="73" t="n">
        <v>0.12246820536976</v>
      </c>
      <c r="F186" s="18" t="n">
        <v>0</v>
      </c>
      <c r="G186" s="20" t="n">
        <v>52</v>
      </c>
      <c r="H186" s="18" t="n">
        <v>7</v>
      </c>
      <c r="I186">
        <f t="array" ref="I186">IFERROR(INDEX($N$5:$N$271,MATCH(TRUE,EXACT(A186,$O$5:$O$271),)),"")</f>
        <v/>
      </c>
      <c r="J186" s="25">
        <f>IF(I186="","",IF(E186="","",G186))</f>
        <v/>
      </c>
      <c r="K186" s="26" t="n">
        <v>4</v>
      </c>
      <c r="N186" s="28" t="inlineStr">
        <is>
          <t>Salads</t>
        </is>
      </c>
      <c r="O186" s="29" t="inlineStr">
        <is>
          <t>Prawn for Salad</t>
        </is>
      </c>
    </row>
    <row r="187">
      <c r="A187" s="15" t="inlineStr">
        <is>
          <t>Creamed Potato</t>
        </is>
      </c>
      <c r="B187" s="18" t="n">
        <v>132.3</v>
      </c>
      <c r="C187" s="73" t="n">
        <v>0.0008482928027196671</v>
      </c>
      <c r="D187" s="73" t="n">
        <v>0.00116862674432779</v>
      </c>
      <c r="E187" s="73" t="n">
        <v>0.0445124823363165</v>
      </c>
      <c r="F187" s="18" t="n">
        <v>-0.7</v>
      </c>
      <c r="G187" s="20" t="n">
        <v>19</v>
      </c>
      <c r="H187" s="18" t="n">
        <v>6.96315789473684</v>
      </c>
      <c r="I187">
        <f t="array" ref="I187">IFERROR(INDEX($N$5:$N$271,MATCH(TRUE,EXACT(A187,$O$5:$O$271),)),"")</f>
        <v/>
      </c>
      <c r="J187" s="25">
        <f>IF(I187="","",IF(E187="","",G187))</f>
        <v/>
      </c>
      <c r="K187" s="26" t="n">
        <v>6</v>
      </c>
      <c r="N187" s="28" t="inlineStr">
        <is>
          <t>Salads</t>
        </is>
      </c>
      <c r="O187" s="29" t="inlineStr">
        <is>
          <t>Salmon for Salad</t>
        </is>
      </c>
    </row>
    <row r="188">
      <c r="A188" s="15" t="inlineStr">
        <is>
          <t>Garden Leaves</t>
        </is>
      </c>
      <c r="B188" s="18" t="n">
        <v>70</v>
      </c>
      <c r="C188" s="73" t="n">
        <v>0.000448832170751146</v>
      </c>
      <c r="D188" s="73" t="n">
        <v>0.000618321028744861</v>
      </c>
      <c r="E188" s="73" t="n">
        <v>0.023551577955723</v>
      </c>
      <c r="F188" s="18" t="n">
        <v>0</v>
      </c>
      <c r="G188" s="20" t="n">
        <v>10</v>
      </c>
      <c r="H188" s="18" t="n">
        <v>7</v>
      </c>
      <c r="I188">
        <f t="array" ref="I188">IFERROR(INDEX($N$5:$N$271,MATCH(TRUE,EXACT(A188,$O$5:$O$271),)),"")</f>
        <v/>
      </c>
      <c r="J188" s="25">
        <f>IF(I188="","",IF(E188="","",G188))</f>
        <v/>
      </c>
      <c r="K188" s="26" t="n">
        <v>7</v>
      </c>
      <c r="N188" s="28" t="inlineStr">
        <is>
          <t>Salads</t>
        </is>
      </c>
      <c r="O188" s="29" t="inlineStr">
        <is>
          <t>Mix salad</t>
        </is>
      </c>
    </row>
    <row r="189">
      <c r="A189" s="15" t="inlineStr">
        <is>
          <t>Basmati Rice</t>
        </is>
      </c>
      <c r="B189" s="18" t="n">
        <v>63</v>
      </c>
      <c r="C189" s="73" t="n">
        <v>0.000403948953676032</v>
      </c>
      <c r="D189" s="73" t="n">
        <v>0.000556488925870375</v>
      </c>
      <c r="E189" s="73" t="n">
        <v>0.0211964201601507</v>
      </c>
      <c r="F189" s="18" t="n">
        <v>0</v>
      </c>
      <c r="G189" s="20" t="n">
        <v>9</v>
      </c>
      <c r="H189" s="18" t="n">
        <v>7</v>
      </c>
      <c r="I189">
        <f t="array" ref="I189">IFERROR(INDEX($N$5:$N$271,MATCH(TRUE,EXACT(A189,$O$5:$O$271),)),"")</f>
        <v/>
      </c>
      <c r="J189" s="25">
        <f>IF(I189="","",IF(E189="","",G189))</f>
        <v/>
      </c>
      <c r="K189" s="26" t="n">
        <v>8</v>
      </c>
      <c r="N189" s="28" t="inlineStr">
        <is>
          <t>Salads</t>
        </is>
      </c>
      <c r="O189" s="29" t="inlineStr">
        <is>
          <t>Vegan Bowl</t>
        </is>
      </c>
    </row>
    <row r="190">
      <c r="A190" s="15" t="inlineStr">
        <is>
          <t>Mash Potatoes</t>
        </is>
      </c>
      <c r="B190" s="18" t="n">
        <v>56</v>
      </c>
      <c r="C190" s="73" t="n">
        <v>0.000359065736600917</v>
      </c>
      <c r="D190" s="73" t="n">
        <v>0.000494656822995889</v>
      </c>
      <c r="E190" s="73" t="n">
        <v>0.0188412623645784</v>
      </c>
      <c r="F190" s="18" t="n">
        <v>0</v>
      </c>
      <c r="G190" s="20" t="n">
        <v>8</v>
      </c>
      <c r="H190" s="18" t="n">
        <v>7</v>
      </c>
      <c r="I190">
        <f t="array" ref="I190">IFERROR(INDEX($N$5:$N$271,MATCH(TRUE,EXACT(A190,$O$5:$O$271),)),"")</f>
        <v/>
      </c>
      <c r="J190" s="25">
        <f>IF(I190="","",IF(E190="","",G190))</f>
        <v/>
      </c>
      <c r="K190" s="26" t="n">
        <v>9</v>
      </c>
      <c r="N190" s="28" t="inlineStr">
        <is>
          <t>Salads</t>
        </is>
      </c>
      <c r="O190" s="29" t="inlineStr">
        <is>
          <t>Vegan Salad Freekeh</t>
        </is>
      </c>
    </row>
    <row r="191">
      <c r="A191" s="15" t="inlineStr">
        <is>
          <t>Spinach</t>
        </is>
      </c>
      <c r="B191" s="18" t="n">
        <v>56</v>
      </c>
      <c r="C191" s="73" t="n">
        <v>0.000359065736600917</v>
      </c>
      <c r="D191" s="73" t="n">
        <v>0.000494656822995889</v>
      </c>
      <c r="E191" s="73" t="n">
        <v>0.0188412623645784</v>
      </c>
      <c r="F191" s="18" t="n">
        <v>0</v>
      </c>
      <c r="G191" s="20" t="n">
        <v>8</v>
      </c>
      <c r="H191" s="18" t="n">
        <v>7</v>
      </c>
      <c r="I191">
        <f t="array" ref="I191">IFERROR(INDEX($N$5:$N$271,MATCH(TRUE,EXACT(A191,$O$5:$O$271),)),"")</f>
        <v/>
      </c>
      <c r="J191" s="25">
        <f>IF(I191="","",IF(E191="","",G191))</f>
        <v/>
      </c>
      <c r="K191" s="26" t="n">
        <v>10</v>
      </c>
      <c r="N191" s="28" t="inlineStr">
        <is>
          <t>Salads</t>
        </is>
      </c>
      <c r="O191" s="29" t="inlineStr">
        <is>
          <t>Halloumi for Salad</t>
        </is>
      </c>
    </row>
    <row r="192">
      <c r="A192" s="15" t="inlineStr">
        <is>
          <t>SUM Seamed Spinach</t>
        </is>
      </c>
      <c r="B192" s="18" t="n">
        <v>49</v>
      </c>
      <c r="C192" s="73" t="n">
        <v>0.000314182519525802</v>
      </c>
      <c r="D192" s="73" t="n">
        <v>0.000432824720121403</v>
      </c>
      <c r="E192" s="73" t="n">
        <v>0.0164861045690061</v>
      </c>
      <c r="F192" s="18" t="n">
        <v>0</v>
      </c>
      <c r="G192" s="20" t="n">
        <v>7</v>
      </c>
      <c r="H192" s="18" t="n">
        <v>7</v>
      </c>
      <c r="I192">
        <f t="array" ref="I192">IFERROR(INDEX($N$5:$N$271,MATCH(TRUE,EXACT(A192,$O$5:$O$271),)),"")</f>
        <v/>
      </c>
      <c r="J192" s="25">
        <f>IF(I192="","",IF(E192="","",G192))</f>
        <v/>
      </c>
      <c r="K192" s="26" t="n">
        <v>11</v>
      </c>
      <c r="N192" s="28" t="inlineStr">
        <is>
          <t>Salads</t>
        </is>
      </c>
      <c r="O192" s="29" t="inlineStr">
        <is>
          <t>.</t>
        </is>
      </c>
    </row>
    <row r="193">
      <c r="A193" s="15" t="inlineStr">
        <is>
          <t>Broccoli</t>
        </is>
      </c>
      <c r="B193" s="18" t="n">
        <v>42</v>
      </c>
      <c r="C193" s="73" t="n">
        <v>0.000269299302450688</v>
      </c>
      <c r="D193" s="73" t="n">
        <v>0.000370992617246917</v>
      </c>
      <c r="E193" s="73" t="n">
        <v>0.0141309467734338</v>
      </c>
      <c r="F193" s="18" t="n">
        <v>0</v>
      </c>
      <c r="G193" s="20" t="n">
        <v>6</v>
      </c>
      <c r="H193" s="18" t="n">
        <v>7</v>
      </c>
      <c r="I193">
        <f t="array" ref="I193">IFERROR(INDEX($N$5:$N$271,MATCH(TRUE,EXACT(A193,$O$5:$O$271),)),"")</f>
        <v/>
      </c>
      <c r="J193" s="25">
        <f>IF(I193="","",IF(E193="","",G193))</f>
        <v/>
      </c>
      <c r="K193" s="26" t="n">
        <v>13</v>
      </c>
      <c r="N193" s="28" t="inlineStr">
        <is>
          <t>Salads</t>
        </is>
      </c>
      <c r="O193" s="29" t="inlineStr">
        <is>
          <t>.</t>
        </is>
      </c>
    </row>
    <row r="194">
      <c r="A194" s="15" t="inlineStr">
        <is>
          <t>Sautee Spinach</t>
        </is>
      </c>
      <c r="B194" s="18" t="n">
        <v>42</v>
      </c>
      <c r="C194" s="73" t="n">
        <v>0.000269299302450688</v>
      </c>
      <c r="D194" s="73" t="n">
        <v>0.000370992617246917</v>
      </c>
      <c r="E194" s="73" t="n">
        <v>0.0141309467734338</v>
      </c>
      <c r="F194" s="18" t="n">
        <v>0</v>
      </c>
      <c r="G194" s="20" t="n">
        <v>6</v>
      </c>
      <c r="H194" s="18" t="n">
        <v>7</v>
      </c>
      <c r="I194">
        <f t="array" ref="I194">IFERROR(INDEX($N$5:$N$271,MATCH(TRUE,EXACT(A194,$O$5:$O$271),)),"")</f>
        <v/>
      </c>
      <c r="J194" s="25">
        <f>IF(I194="","",IF(E194="","",G194))</f>
        <v/>
      </c>
      <c r="K194" s="26" t="n">
        <v>14</v>
      </c>
      <c r="N194" s="28" t="inlineStr">
        <is>
          <t>Salads</t>
        </is>
      </c>
      <c r="O194" s="29" t="inlineStr">
        <is>
          <t>.</t>
        </is>
      </c>
    </row>
    <row r="195">
      <c r="A195" s="15" t="inlineStr">
        <is>
          <t>Spinach Steamed</t>
        </is>
      </c>
      <c r="B195" s="18" t="n">
        <v>35</v>
      </c>
      <c r="C195" s="73" t="n">
        <v>0.000224416085375573</v>
      </c>
      <c r="D195" s="73" t="n">
        <v>0.000309160514372431</v>
      </c>
      <c r="E195" s="73" t="n">
        <v>0.0117757889778615</v>
      </c>
      <c r="F195" s="18" t="n">
        <v>0</v>
      </c>
      <c r="G195" s="20" t="n">
        <v>5</v>
      </c>
      <c r="H195" s="18" t="n">
        <v>7</v>
      </c>
      <c r="I195">
        <f t="array" ref="I195">IFERROR(INDEX($N$5:$N$271,MATCH(TRUE,EXACT(A195,$O$5:$O$271),)),"")</f>
        <v/>
      </c>
      <c r="J195" s="25">
        <f>IF(I195="","",IF(E195="","",G195))</f>
        <v/>
      </c>
      <c r="K195" s="26" t="n">
        <v>15</v>
      </c>
      <c r="N195" s="28" t="inlineStr">
        <is>
          <t>Salads</t>
        </is>
      </c>
      <c r="O195" s="29" t="inlineStr">
        <is>
          <t>.</t>
        </is>
      </c>
    </row>
    <row r="196">
      <c r="A196" s="15" t="inlineStr">
        <is>
          <t>New Potatoes</t>
        </is>
      </c>
      <c r="B196" s="18" t="n">
        <v>28</v>
      </c>
      <c r="C196" s="73" t="n">
        <v>0.000179532868300459</v>
      </c>
      <c r="D196" s="73" t="n">
        <v>0.000247328411497944</v>
      </c>
      <c r="E196" s="73" t="n">
        <v>0.00942063118228921</v>
      </c>
      <c r="F196" s="18" t="n">
        <v>0</v>
      </c>
      <c r="G196" s="20" t="n">
        <v>4</v>
      </c>
      <c r="H196" s="18" t="n">
        <v>7</v>
      </c>
      <c r="I196">
        <f t="array" ref="I196">IFERROR(INDEX($N$5:$N$271,MATCH(TRUE,EXACT(A196,$O$5:$O$271),)),"")</f>
        <v/>
      </c>
      <c r="J196" s="25">
        <f>IF(I196="","",IF(E196="","",G196))</f>
        <v/>
      </c>
      <c r="K196" s="26" t="n">
        <v>16</v>
      </c>
      <c r="N196" s="28" t="inlineStr">
        <is>
          <t>Salads</t>
        </is>
      </c>
      <c r="O196" s="29" t="inlineStr">
        <is>
          <t>.</t>
        </is>
      </c>
    </row>
    <row r="197">
      <c r="A197" s="15" t="inlineStr">
        <is>
          <t>Steam Vegetables</t>
        </is>
      </c>
      <c r="B197" s="18" t="n">
        <v>7</v>
      </c>
      <c r="C197" s="73" t="n">
        <v>4.48832170751146e-05</v>
      </c>
      <c r="D197" s="73" t="n">
        <v>6.18321028744861e-05</v>
      </c>
      <c r="E197" s="73" t="n">
        <v>0.0023551577955723</v>
      </c>
      <c r="F197" s="18" t="n">
        <v>0</v>
      </c>
      <c r="G197" s="20" t="n">
        <v>1</v>
      </c>
      <c r="H197" s="18" t="n">
        <v>7</v>
      </c>
      <c r="I197">
        <f t="array" ref="I197">IFERROR(INDEX($N$5:$N$271,MATCH(TRUE,EXACT(A197,$O$5:$O$271),)),"")</f>
        <v/>
      </c>
      <c r="J197" s="25">
        <f>IF(I197="","",IF(E197="","",G197))</f>
        <v/>
      </c>
      <c r="K197" s="26" t="n">
        <v>17</v>
      </c>
      <c r="N197" s="28" t="inlineStr">
        <is>
          <t>Salads</t>
        </is>
      </c>
      <c r="O197" s="29" t="inlineStr">
        <is>
          <t>.</t>
        </is>
      </c>
    </row>
    <row r="198">
      <c r="A198" s="15" t="inlineStr">
        <is>
          <t>Vegan Carrots</t>
        </is>
      </c>
      <c r="B198" s="18" t="n">
        <v>7</v>
      </c>
      <c r="C198" s="73" t="n">
        <v>4.48832170751146e-05</v>
      </c>
      <c r="D198" s="73" t="n">
        <v>6.18321028744861e-05</v>
      </c>
      <c r="E198" s="73" t="n">
        <v>0.0023551577955723</v>
      </c>
      <c r="F198" s="18" t="n">
        <v>0</v>
      </c>
      <c r="G198" s="20" t="n">
        <v>1</v>
      </c>
      <c r="H198" s="18" t="n">
        <v>7</v>
      </c>
      <c r="I198">
        <f t="array" ref="I198">IFERROR(INDEX($N$5:$N$271,MATCH(TRUE,EXACT(A198,$O$5:$O$271),)),"")</f>
        <v/>
      </c>
      <c r="J198" s="25">
        <f>IF(I198="","",IF(E198="","",G198))</f>
        <v/>
      </c>
      <c r="K198" s="26" t="n">
        <v>18</v>
      </c>
      <c r="N198" s="28" t="inlineStr">
        <is>
          <t>Salads</t>
        </is>
      </c>
      <c r="O198" s="29" t="inlineStr">
        <is>
          <t>.</t>
        </is>
      </c>
    </row>
    <row r="199">
      <c r="A199" s="15" t="inlineStr">
        <is>
          <t>Vegan Fries</t>
        </is>
      </c>
      <c r="B199" s="18" t="n">
        <v>7</v>
      </c>
      <c r="C199" s="73" t="n">
        <v>4.48832170751146e-05</v>
      </c>
      <c r="D199" s="73" t="n">
        <v>6.18321028744861e-05</v>
      </c>
      <c r="E199" s="73" t="n">
        <v>0.0023551577955723</v>
      </c>
      <c r="F199" s="18" t="n">
        <v>0</v>
      </c>
      <c r="G199" s="20" t="n">
        <v>1</v>
      </c>
      <c r="H199" s="18" t="n">
        <v>7</v>
      </c>
      <c r="I199">
        <f t="array" ref="I199">IFERROR(INDEX($N$5:$N$271,MATCH(TRUE,EXACT(A199,$O$5:$O$271),)),"")</f>
        <v/>
      </c>
      <c r="J199" s="25">
        <f>IF(I199="","",IF(E199="","",G199))</f>
        <v/>
      </c>
      <c r="K199" s="26" t="n">
        <v>19</v>
      </c>
      <c r="N199" s="28" t="inlineStr">
        <is>
          <t>Salads</t>
        </is>
      </c>
      <c r="O199" s="29" t="inlineStr">
        <is>
          <t>.</t>
        </is>
      </c>
    </row>
    <row r="200">
      <c r="A200" s="15" t="inlineStr">
        <is>
          <t>Vegan Spinach Steamed</t>
        </is>
      </c>
      <c r="B200" s="18" t="n">
        <v>7</v>
      </c>
      <c r="C200" s="73" t="n">
        <v>4.48832170751146e-05</v>
      </c>
      <c r="D200" s="73" t="n">
        <v>6.18321028744861e-05</v>
      </c>
      <c r="E200" s="73" t="n">
        <v>0.0023551577955723</v>
      </c>
      <c r="F200" s="18" t="n">
        <v>0</v>
      </c>
      <c r="G200" s="20" t="n">
        <v>1</v>
      </c>
      <c r="H200" s="18" t="n">
        <v>7</v>
      </c>
      <c r="I200">
        <f t="array" ref="I200">IFERROR(INDEX($N$5:$N$271,MATCH(TRUE,EXACT(A200,$O$5:$O$271),)),"")</f>
        <v/>
      </c>
      <c r="J200" s="25">
        <f>IF(I200="","",IF(E200="","",G200))</f>
        <v/>
      </c>
      <c r="K200" s="26" t="n">
        <v>20</v>
      </c>
      <c r="N200" s="28" t="inlineStr">
        <is>
          <t>Salads</t>
        </is>
      </c>
      <c r="O200" s="29" t="inlineStr">
        <is>
          <t>.</t>
        </is>
      </c>
    </row>
    <row r="201">
      <c r="A201" s="15" t="inlineStr">
        <is>
          <t>Asparagus Steam</t>
        </is>
      </c>
      <c r="B201" s="18" t="n">
        <v>0</v>
      </c>
      <c r="C201" s="73" t="n">
        <v>0</v>
      </c>
      <c r="D201" s="73" t="n">
        <v>0</v>
      </c>
      <c r="E201" s="73" t="n">
        <v>0</v>
      </c>
      <c r="F201" s="18" t="n">
        <v>0</v>
      </c>
      <c r="G201" s="20" t="n">
        <v>0</v>
      </c>
      <c r="H201" s="18" t="n">
        <v>0</v>
      </c>
      <c r="I201">
        <f t="array" ref="I201">IFERROR(INDEX($N$5:$N$271,MATCH(TRUE,EXACT(A201,$O$5:$O$271),)),"")</f>
        <v/>
      </c>
      <c r="J201" s="25">
        <f>IF(I201="","",IF(E201="","",G201))</f>
        <v/>
      </c>
      <c r="K201" s="26" t="n">
        <v>21</v>
      </c>
      <c r="N201" s="28" t="inlineStr">
        <is>
          <t>Salads</t>
        </is>
      </c>
      <c r="O201" s="29" t="inlineStr">
        <is>
          <t>.</t>
        </is>
      </c>
    </row>
    <row r="202">
      <c r="A202" s="15" t="inlineStr">
        <is>
          <t>Crudites</t>
        </is>
      </c>
      <c r="B202" s="18" t="n">
        <v>0</v>
      </c>
      <c r="C202" s="73" t="n">
        <v>0</v>
      </c>
      <c r="D202" s="73" t="n">
        <v>0</v>
      </c>
      <c r="E202" s="73" t="n">
        <v>0</v>
      </c>
      <c r="F202" s="18" t="n">
        <v>0</v>
      </c>
      <c r="G202" s="20" t="n">
        <v>0</v>
      </c>
      <c r="H202" s="18" t="n">
        <v>0</v>
      </c>
      <c r="I202">
        <f t="array" ref="I202">IFERROR(INDEX($N$5:$N$271,MATCH(TRUE,EXACT(A202,$O$5:$O$271),)),"")</f>
        <v/>
      </c>
      <c r="J202" s="25">
        <f>IF(I202="","",IF(E202="","",G202))</f>
        <v/>
      </c>
      <c r="K202" s="26" t="n">
        <v>22</v>
      </c>
      <c r="N202" s="28" t="inlineStr">
        <is>
          <t>Salads</t>
        </is>
      </c>
      <c r="O202" s="29" t="inlineStr">
        <is>
          <t>.</t>
        </is>
      </c>
    </row>
    <row r="203">
      <c r="A203" s="17" t="inlineStr">
        <is>
          <t>Pasta</t>
        </is>
      </c>
      <c r="B203" s="13" t="n">
        <v>2782.8</v>
      </c>
      <c r="C203" s="70" t="n">
        <v>0.0178430023538041</v>
      </c>
      <c r="D203" s="70" t="n">
        <v>0.0245809108398743</v>
      </c>
      <c r="E203" s="15" t="inlineStr"/>
      <c r="F203" s="13" t="n">
        <v>-7.2</v>
      </c>
      <c r="G203" s="16" t="n">
        <v>127</v>
      </c>
      <c r="H203" s="13" t="n">
        <v>21.9118110236221</v>
      </c>
      <c r="I203">
        <f t="array" ref="I203">IFERROR(INDEX($N$5:$N$271,MATCH(TRUE,EXACT(A203,$O$5:$O$271),)),"")</f>
        <v/>
      </c>
      <c r="J203" s="25">
        <f>IF(I203="","",IF(E203="","",G203))</f>
        <v/>
      </c>
      <c r="K203" s="26" t="n"/>
      <c r="N203" s="28" t="inlineStr">
        <is>
          <t>Salads</t>
        </is>
      </c>
      <c r="O203" s="29" t="inlineStr">
        <is>
          <t>.</t>
        </is>
      </c>
    </row>
    <row r="204">
      <c r="A204" s="15" t="inlineStr">
        <is>
          <t>Bolognese Penne</t>
        </is>
      </c>
      <c r="B204" s="18" t="n">
        <v>568.8</v>
      </c>
      <c r="C204" s="73" t="n">
        <v>0.00364708198176074</v>
      </c>
      <c r="D204" s="73" t="n">
        <v>0.00502430001642967</v>
      </c>
      <c r="E204" s="73" t="n">
        <v>0.204398447606727</v>
      </c>
      <c r="F204" s="18" t="n">
        <v>-7.2</v>
      </c>
      <c r="G204" s="20" t="n">
        <v>24</v>
      </c>
      <c r="H204" s="18" t="n">
        <v>23.7</v>
      </c>
      <c r="I204">
        <f t="array" ref="I204">IFERROR(INDEX($N$5:$N$271,MATCH(TRUE,EXACT(A204,$O$5:$O$271),)),"")</f>
        <v/>
      </c>
      <c r="J204" s="25">
        <f>IF(I204="","",IF(E204="","",G204))</f>
        <v/>
      </c>
      <c r="K204" s="26" t="n">
        <v>7</v>
      </c>
      <c r="N204" s="28" t="inlineStr">
        <is>
          <t>Salads</t>
        </is>
      </c>
      <c r="O204" s="29" t="inlineStr">
        <is>
          <t>.</t>
        </is>
      </c>
    </row>
    <row r="205">
      <c r="A205" s="15" t="inlineStr">
        <is>
          <t>Penne</t>
        </is>
      </c>
      <c r="B205" s="18" t="n">
        <v>506</v>
      </c>
      <c r="C205" s="73" t="n">
        <v>0.00324441540571543</v>
      </c>
      <c r="D205" s="73" t="n">
        <v>0.00446957772207</v>
      </c>
      <c r="E205" s="73" t="n">
        <v>0.181831249101624</v>
      </c>
      <c r="F205" s="18" t="n">
        <v>0</v>
      </c>
      <c r="G205" s="20" t="n">
        <v>23</v>
      </c>
      <c r="H205" s="18" t="n">
        <v>22</v>
      </c>
      <c r="I205">
        <f t="array" ref="I205">IFERROR(INDEX($N$5:$N$271,MATCH(TRUE,EXACT(A205,$O$5:$O$271),)),"")</f>
        <v/>
      </c>
      <c r="J205" s="25">
        <f>IF(I205="","",IF(E205="","",G205))</f>
        <v/>
      </c>
      <c r="K205" s="26" t="n">
        <v>8</v>
      </c>
      <c r="N205" s="28" t="inlineStr">
        <is>
          <t>Salads</t>
        </is>
      </c>
      <c r="O205" s="29" t="inlineStr">
        <is>
          <t>.</t>
        </is>
      </c>
    </row>
    <row r="206">
      <c r="A206" s="15" t="inlineStr">
        <is>
          <t>Penne Arrabbiata</t>
        </is>
      </c>
      <c r="B206" s="18" t="n">
        <v>504</v>
      </c>
      <c r="C206" s="73" t="n">
        <v>0.00323159162940825</v>
      </c>
      <c r="D206" s="73" t="n">
        <v>0.004451911406963</v>
      </c>
      <c r="E206" s="73" t="n">
        <v>0.18111254851229</v>
      </c>
      <c r="F206" s="18" t="n">
        <v>0</v>
      </c>
      <c r="G206" s="20" t="n">
        <v>24</v>
      </c>
      <c r="H206" s="18" t="n">
        <v>21</v>
      </c>
      <c r="I206">
        <f t="array" ref="I206">IFERROR(INDEX($N$5:$N$271,MATCH(TRUE,EXACT(A206,$O$5:$O$271),)),"")</f>
        <v/>
      </c>
      <c r="J206" s="25">
        <f>IF(I206="","",IF(E206="","",G206))</f>
        <v/>
      </c>
      <c r="K206" s="26" t="n">
        <v>9</v>
      </c>
      <c r="N206" s="28" t="inlineStr">
        <is>
          <t>Salads</t>
        </is>
      </c>
      <c r="O206" s="29" t="inlineStr">
        <is>
          <t>.</t>
        </is>
      </c>
    </row>
    <row r="207" ht="14.75" customHeight="1">
      <c r="A207" s="15" t="inlineStr">
        <is>
          <t>Linguine Bolognese</t>
        </is>
      </c>
      <c r="B207" s="18" t="n">
        <v>360</v>
      </c>
      <c r="C207" s="73" t="n">
        <v>0.00230827973529161</v>
      </c>
      <c r="D207" s="73" t="n">
        <v>0.00317993671925929</v>
      </c>
      <c r="E207" s="73" t="n">
        <v>0.129366106080207</v>
      </c>
      <c r="F207" s="18" t="n">
        <v>0</v>
      </c>
      <c r="G207" s="20" t="n">
        <v>15</v>
      </c>
      <c r="H207" s="18" t="n">
        <v>24</v>
      </c>
      <c r="I207">
        <f t="array" ref="I207">IFERROR(INDEX($N$5:$N$271,MATCH(TRUE,EXACT(A207,$O$5:$O$271),)),"")</f>
        <v/>
      </c>
      <c r="J207" s="25">
        <f>IF(I207="","",IF(E207="","",G207))</f>
        <v/>
      </c>
      <c r="K207" s="26" t="n">
        <v>10</v>
      </c>
      <c r="N207" s="28" t="inlineStr">
        <is>
          <t>Salads</t>
        </is>
      </c>
      <c r="O207" s="29" t="inlineStr">
        <is>
          <t>.</t>
        </is>
      </c>
    </row>
    <row r="208" ht="14.75" customHeight="1">
      <c r="A208" s="15" t="inlineStr">
        <is>
          <t>Bolognese Linguine</t>
        </is>
      </c>
      <c r="B208" s="18" t="n">
        <v>312</v>
      </c>
      <c r="C208" s="73" t="n">
        <v>0.00200050910391939</v>
      </c>
      <c r="D208" s="73" t="n">
        <v>0.00275594515669138</v>
      </c>
      <c r="E208" s="73" t="n">
        <v>0.112117291936179</v>
      </c>
      <c r="F208" s="18" t="n">
        <v>0</v>
      </c>
      <c r="G208" s="20" t="n">
        <v>13</v>
      </c>
      <c r="H208" s="18" t="n">
        <v>24</v>
      </c>
      <c r="I208">
        <f t="array" ref="I208">IFERROR(INDEX($N$5:$N$271,MATCH(TRUE,EXACT(A208,$O$5:$O$271),)),"")</f>
        <v/>
      </c>
      <c r="J208" s="25">
        <f>IF(I208="","",IF(E208="","",G208))</f>
        <v/>
      </c>
      <c r="K208" s="26" t="n">
        <v>11</v>
      </c>
      <c r="N208" s="30" t="inlineStr">
        <is>
          <t>Sides</t>
        </is>
      </c>
      <c r="O208" s="29" t="inlineStr">
        <is>
          <t>SUM French Fries</t>
        </is>
      </c>
    </row>
    <row r="209">
      <c r="A209" s="15" t="inlineStr">
        <is>
          <t>Arrabbiata Penne</t>
        </is>
      </c>
      <c r="B209" s="18" t="n">
        <v>160</v>
      </c>
      <c r="C209" s="73" t="n">
        <v>0.00102590210457405</v>
      </c>
      <c r="D209" s="73" t="n">
        <v>0.00141330520855968</v>
      </c>
      <c r="E209" s="73" t="n">
        <v>0.0574960471467587</v>
      </c>
      <c r="F209" s="18" t="n">
        <v>0</v>
      </c>
      <c r="G209" s="20" t="n">
        <v>8</v>
      </c>
      <c r="H209" s="18" t="n">
        <v>20</v>
      </c>
      <c r="I209">
        <f t="array" ref="I209">IFERROR(INDEX($N$5:$N$271,MATCH(TRUE,EXACT(A209,$O$5:$O$271),)),"")</f>
        <v/>
      </c>
      <c r="J209" s="25">
        <f>IF(I209="","",IF(E209="","",G209))</f>
        <v/>
      </c>
      <c r="K209" s="26" t="n">
        <v>12</v>
      </c>
      <c r="N209" s="28" t="inlineStr">
        <is>
          <t>Sides</t>
        </is>
      </c>
      <c r="O209" s="29" t="inlineStr">
        <is>
          <t>Chili Garlic Broccoli</t>
        </is>
      </c>
    </row>
    <row r="210">
      <c r="A210" s="15" t="inlineStr">
        <is>
          <t>Arrabbiata Linguine</t>
        </is>
      </c>
      <c r="B210" s="18" t="n">
        <v>140</v>
      </c>
      <c r="C210" s="73" t="n">
        <v>0.000897664341502293</v>
      </c>
      <c r="D210" s="73" t="n">
        <v>0.00123664205748972</v>
      </c>
      <c r="E210" s="73" t="n">
        <v>0.0503090412534138</v>
      </c>
      <c r="F210" s="18" t="n">
        <v>0</v>
      </c>
      <c r="G210" s="20" t="n">
        <v>7</v>
      </c>
      <c r="H210" s="18" t="n">
        <v>20</v>
      </c>
      <c r="I210">
        <f t="array" ref="I210">IFERROR(INDEX($N$5:$N$271,MATCH(TRUE,EXACT(A210,$O$5:$O$271),)),"")</f>
        <v/>
      </c>
      <c r="J210" s="25">
        <f>IF(I210="","",IF(E210="","",G210))</f>
        <v/>
      </c>
      <c r="K210" s="26" t="n">
        <v>13</v>
      </c>
      <c r="N210" s="28" t="inlineStr">
        <is>
          <t>Sides</t>
        </is>
      </c>
      <c r="O210" s="29" t="inlineStr">
        <is>
          <t>Basmati Rice</t>
        </is>
      </c>
    </row>
    <row r="211">
      <c r="A211" s="15" t="inlineStr">
        <is>
          <t>Spaghetti</t>
        </is>
      </c>
      <c r="B211" s="18" t="n">
        <v>132</v>
      </c>
      <c r="C211" s="73" t="n">
        <v>0.00084636923627359</v>
      </c>
      <c r="D211" s="73" t="n">
        <v>0.00116597679706174</v>
      </c>
      <c r="E211" s="73" t="n">
        <v>0.0474342388960759</v>
      </c>
      <c r="F211" s="18" t="n">
        <v>0</v>
      </c>
      <c r="G211" s="20" t="n">
        <v>6</v>
      </c>
      <c r="H211" s="18" t="n">
        <v>22</v>
      </c>
      <c r="I211">
        <f t="array" ref="I211">IFERROR(INDEX($N$5:$N$271,MATCH(TRUE,EXACT(A211,$O$5:$O$271),)),"")</f>
        <v/>
      </c>
      <c r="J211" s="25">
        <f>IF(I211="","",IF(E211="","",G211))</f>
        <v/>
      </c>
      <c r="K211" s="26" t="n">
        <v>14</v>
      </c>
      <c r="N211" s="28" t="inlineStr">
        <is>
          <t>Sides</t>
        </is>
      </c>
      <c r="O211" s="29" t="inlineStr">
        <is>
          <t>Mash Potatoes</t>
        </is>
      </c>
    </row>
    <row r="212">
      <c r="A212" s="15" t="inlineStr">
        <is>
          <t>Linguine Arrabbiata</t>
        </is>
      </c>
      <c r="B212" s="18" t="n">
        <v>60</v>
      </c>
      <c r="C212" s="73" t="n">
        <v>0.000384713289215268</v>
      </c>
      <c r="D212" s="73" t="n">
        <v>0.000529989453209881</v>
      </c>
      <c r="E212" s="73" t="n">
        <v>0.0215610176800345</v>
      </c>
      <c r="F212" s="18" t="n">
        <v>0</v>
      </c>
      <c r="G212" s="20" t="n">
        <v>3</v>
      </c>
      <c r="H212" s="18" t="n">
        <v>20</v>
      </c>
      <c r="I212">
        <f t="array" ref="I212">IFERROR(INDEX($N$5:$N$271,MATCH(TRUE,EXACT(A212,$O$5:$O$271),)),"")</f>
        <v/>
      </c>
      <c r="J212" s="25">
        <f>IF(I212="","",IF(E212="","",G212))</f>
        <v/>
      </c>
      <c r="K212" s="26" t="n">
        <v>16</v>
      </c>
      <c r="N212" s="28" t="inlineStr">
        <is>
          <t>Sides</t>
        </is>
      </c>
      <c r="O212" s="29" t="inlineStr">
        <is>
          <t>Garden Leaves</t>
        </is>
      </c>
    </row>
    <row r="213">
      <c r="A213" s="15" t="inlineStr">
        <is>
          <t>Bolognaise Sauce</t>
        </is>
      </c>
      <c r="B213" s="18" t="n">
        <v>40</v>
      </c>
      <c r="C213" s="73" t="n">
        <v>0.000256475526143512</v>
      </c>
      <c r="D213" s="73" t="n">
        <v>0.000353326302139921</v>
      </c>
      <c r="E213" s="73" t="n">
        <v>0.0143740117866897</v>
      </c>
      <c r="F213" s="18" t="n">
        <v>0</v>
      </c>
      <c r="G213" s="20" t="n">
        <v>4</v>
      </c>
      <c r="H213" s="18" t="n">
        <v>10</v>
      </c>
      <c r="I213">
        <f t="array" ref="I213">IFERROR(INDEX($N$5:$N$271,MATCH(TRUE,EXACT(A213,$O$5:$O$271),)),"")</f>
        <v/>
      </c>
      <c r="J213" s="25">
        <f>IF(I213="","",IF(E213="","",G213))</f>
        <v/>
      </c>
      <c r="K213" s="26" t="n">
        <v>17</v>
      </c>
      <c r="N213" s="28" t="inlineStr">
        <is>
          <t>Sides</t>
        </is>
      </c>
      <c r="O213" s="29" t="inlineStr">
        <is>
          <t>Creamed Potato</t>
        </is>
      </c>
    </row>
    <row r="214">
      <c r="A214" s="17" t="inlineStr">
        <is>
          <t>Extras Add ons</t>
        </is>
      </c>
      <c r="B214" s="13" t="n">
        <v>2776</v>
      </c>
      <c r="C214" s="70" t="n">
        <v>0.0177994015143597</v>
      </c>
      <c r="D214" s="70" t="n">
        <v>0.0245208453685105</v>
      </c>
      <c r="E214" s="15" t="inlineStr"/>
      <c r="F214" s="13" t="n">
        <v>-12</v>
      </c>
      <c r="G214" s="16" t="n">
        <v>697</v>
      </c>
      <c r="H214" s="13" t="n">
        <v>3.98278335724534</v>
      </c>
      <c r="I214">
        <f t="array" ref="I214">IFERROR(INDEX($N$5:$N$271,MATCH(TRUE,EXACT(A214,$O$5:$O$271),)),"")</f>
        <v/>
      </c>
      <c r="J214" s="25">
        <f>IF(I214="","",IF(E214="","",G214))</f>
        <v/>
      </c>
      <c r="K214" s="26" t="n"/>
      <c r="N214" s="28" t="inlineStr">
        <is>
          <t>Sides</t>
        </is>
      </c>
      <c r="O214" s="29" t="inlineStr">
        <is>
          <t>Spinach Steamed</t>
        </is>
      </c>
    </row>
    <row r="215">
      <c r="A215" s="15" t="inlineStr">
        <is>
          <t>Extra Hash Brown</t>
        </is>
      </c>
      <c r="B215" s="18" t="n">
        <v>520</v>
      </c>
      <c r="C215" s="73" t="n">
        <v>0.00333418183986566</v>
      </c>
      <c r="D215" s="73" t="n">
        <v>0.00459324192781897</v>
      </c>
      <c r="E215" s="73" t="n">
        <v>0.187319884726225</v>
      </c>
      <c r="F215" s="18" t="n">
        <v>0</v>
      </c>
      <c r="G215" s="20" t="n">
        <v>130</v>
      </c>
      <c r="H215" s="18" t="n">
        <v>4</v>
      </c>
      <c r="I215">
        <f t="array" ref="I215">IFERROR(INDEX($N$5:$N$271,MATCH(TRUE,EXACT(A215,$O$5:$O$271),)),"")</f>
        <v/>
      </c>
      <c r="J215" s="25">
        <f>IF(I215="","",IF(E215="","",G215))</f>
        <v/>
      </c>
      <c r="K215" s="26" t="n"/>
      <c r="N215" s="28" t="inlineStr">
        <is>
          <t>Sides</t>
        </is>
      </c>
      <c r="O215" s="29" t="inlineStr">
        <is>
          <t>Sautee Spinach</t>
        </is>
      </c>
    </row>
    <row r="216">
      <c r="A216" s="15" t="inlineStr">
        <is>
          <t>Extra Maple Cured Bacon</t>
        </is>
      </c>
      <c r="B216" s="18" t="n">
        <v>496</v>
      </c>
      <c r="C216" s="73" t="n">
        <v>0.00318029652417955</v>
      </c>
      <c r="D216" s="73" t="n">
        <v>0.00438124614653502</v>
      </c>
      <c r="E216" s="73" t="n">
        <v>0.178674351585014</v>
      </c>
      <c r="F216" s="18" t="n">
        <v>0</v>
      </c>
      <c r="G216" s="20" t="n">
        <v>124</v>
      </c>
      <c r="H216" s="18" t="n">
        <v>4</v>
      </c>
      <c r="I216">
        <f t="array" ref="I216">IFERROR(INDEX($N$5:$N$271,MATCH(TRUE,EXACT(A216,$O$5:$O$271),)),"")</f>
        <v/>
      </c>
      <c r="J216" s="25">
        <f>IF(I216="","",IF(E216="","",G216))</f>
        <v/>
      </c>
      <c r="K216" s="26" t="n"/>
      <c r="N216" s="28" t="inlineStr">
        <is>
          <t>Sides</t>
        </is>
      </c>
      <c r="O216" s="29" t="inlineStr">
        <is>
          <t>Steam Vegetables</t>
        </is>
      </c>
    </row>
    <row r="217">
      <c r="A217" s="15" t="inlineStr">
        <is>
          <t>Extra Baked Beans</t>
        </is>
      </c>
      <c r="B217" s="18" t="n">
        <v>488</v>
      </c>
      <c r="C217" s="73" t="n">
        <v>0.00312900141895085</v>
      </c>
      <c r="D217" s="73" t="n">
        <v>0.00431058088610703</v>
      </c>
      <c r="E217" s="73" t="n">
        <v>0.175792507204611</v>
      </c>
      <c r="F217" s="18" t="n">
        <v>-4</v>
      </c>
      <c r="G217" s="20" t="n">
        <v>123</v>
      </c>
      <c r="H217" s="18" t="n">
        <v>3.96747967479675</v>
      </c>
      <c r="I217">
        <f t="array" ref="I217">IFERROR(INDEX($N$5:$N$271,MATCH(TRUE,EXACT(A217,$O$5:$O$271),)),"")</f>
        <v/>
      </c>
      <c r="J217" s="25">
        <f>IF(I217="","",IF(E217="","",G217))</f>
        <v/>
      </c>
      <c r="K217" s="26" t="n"/>
      <c r="N217" s="28" t="inlineStr">
        <is>
          <t>Sides</t>
        </is>
      </c>
      <c r="O217" s="29" t="inlineStr">
        <is>
          <t>SUM Seamed Spinach</t>
        </is>
      </c>
    </row>
    <row r="218">
      <c r="A218" s="15" t="inlineStr">
        <is>
          <t>Extra Pork Sausage</t>
        </is>
      </c>
      <c r="B218" s="18" t="n">
        <v>352</v>
      </c>
      <c r="C218" s="73" t="n">
        <v>0.00225698463006291</v>
      </c>
      <c r="D218" s="73" t="n">
        <v>0.0031092714588313</v>
      </c>
      <c r="E218" s="73" t="n">
        <v>0.126801152737752</v>
      </c>
      <c r="F218" s="18" t="n">
        <v>0</v>
      </c>
      <c r="G218" s="20" t="n">
        <v>88</v>
      </c>
      <c r="H218" s="18" t="n">
        <v>4</v>
      </c>
      <c r="I218">
        <f t="array" ref="I218">IFERROR(INDEX($N$5:$N$271,MATCH(TRUE,EXACT(A218,$O$5:$O$271),)),"")</f>
        <v/>
      </c>
      <c r="J218" s="25">
        <f>IF(I218="","",IF(E218="","",G218))</f>
        <v/>
      </c>
      <c r="K218" s="26" t="n"/>
      <c r="N218" s="28" t="inlineStr">
        <is>
          <t>Sides</t>
        </is>
      </c>
      <c r="O218" s="29" t="inlineStr">
        <is>
          <t>Spinach</t>
        </is>
      </c>
    </row>
    <row r="219">
      <c r="A219" s="15" t="inlineStr">
        <is>
          <t>Extra Avocado</t>
        </is>
      </c>
      <c r="B219" s="18" t="n">
        <v>260</v>
      </c>
      <c r="C219" s="73" t="n">
        <v>0.00166709091993283</v>
      </c>
      <c r="D219" s="73" t="n">
        <v>0.00229662096390948</v>
      </c>
      <c r="E219" s="73" t="n">
        <v>0.0936599423631124</v>
      </c>
      <c r="F219" s="18" t="n">
        <v>0</v>
      </c>
      <c r="G219" s="20" t="n">
        <v>65</v>
      </c>
      <c r="H219" s="18" t="n">
        <v>4</v>
      </c>
      <c r="I219">
        <f t="array" ref="I219">IFERROR(INDEX($N$5:$N$271,MATCH(TRUE,EXACT(A219,$O$5:$O$271),)),"")</f>
        <v/>
      </c>
      <c r="J219" s="25">
        <f>IF(I219="","",IF(E219="","",G219))</f>
        <v/>
      </c>
      <c r="K219" s="26" t="n"/>
      <c r="N219" s="28" t="inlineStr">
        <is>
          <t>Sides</t>
        </is>
      </c>
      <c r="O219" s="29" t="inlineStr">
        <is>
          <t>Green Beans</t>
        </is>
      </c>
    </row>
    <row r="220">
      <c r="A220" s="15" t="inlineStr">
        <is>
          <t>Extra Field Mushroom</t>
        </is>
      </c>
      <c r="B220" s="18" t="n">
        <v>204</v>
      </c>
      <c r="C220" s="73" t="n">
        <v>0.00130802518333191</v>
      </c>
      <c r="D220" s="73" t="n">
        <v>0.0018019641409136</v>
      </c>
      <c r="E220" s="73" t="n">
        <v>0.0734870317002882</v>
      </c>
      <c r="F220" s="18" t="n">
        <v>0</v>
      </c>
      <c r="G220" s="20" t="n">
        <v>51</v>
      </c>
      <c r="H220" s="18" t="n">
        <v>4</v>
      </c>
      <c r="I220">
        <f t="array" ref="I220">IFERROR(INDEX($N$5:$N$271,MATCH(TRUE,EXACT(A220,$O$5:$O$271),)),"")</f>
        <v/>
      </c>
      <c r="J220" s="25">
        <f>IF(I220="","",IF(E220="","",G220))</f>
        <v/>
      </c>
      <c r="K220" s="26" t="n"/>
      <c r="N220" s="28" t="inlineStr">
        <is>
          <t>Sides</t>
        </is>
      </c>
      <c r="O220" s="29" t="inlineStr">
        <is>
          <t>New Potatoes</t>
        </is>
      </c>
    </row>
    <row r="221">
      <c r="A221" s="15" t="inlineStr">
        <is>
          <t>Extra Grilled Tomato</t>
        </is>
      </c>
      <c r="B221" s="18" t="n">
        <v>144</v>
      </c>
      <c r="C221" s="73" t="n">
        <v>0.000923311894116644</v>
      </c>
      <c r="D221" s="73" t="n">
        <v>0.00127197468770371</v>
      </c>
      <c r="E221" s="73" t="n">
        <v>0.0518731988472622</v>
      </c>
      <c r="F221" s="18" t="n">
        <v>0</v>
      </c>
      <c r="G221" s="20" t="n">
        <v>36</v>
      </c>
      <c r="H221" s="18" t="n">
        <v>4</v>
      </c>
      <c r="I221">
        <f t="array" ref="I221">IFERROR(INDEX($N$5:$N$271,MATCH(TRUE,EXACT(A221,$O$5:$O$271),)),"")</f>
        <v/>
      </c>
      <c r="J221" s="25">
        <f>IF(I221="","",IF(E221="","",G221))</f>
        <v/>
      </c>
      <c r="K221" s="26" t="n"/>
      <c r="N221" s="28" t="inlineStr">
        <is>
          <t>Sides</t>
        </is>
      </c>
      <c r="O221" s="29" t="inlineStr">
        <is>
          <t>Carrots</t>
        </is>
      </c>
    </row>
    <row r="222">
      <c r="A222" s="15" t="inlineStr">
        <is>
          <t>Extra Black Pudding</t>
        </is>
      </c>
      <c r="B222" s="18" t="n">
        <v>64</v>
      </c>
      <c r="C222" s="73" t="n">
        <v>0.000410360841829619</v>
      </c>
      <c r="D222" s="73" t="n">
        <v>0.000565322083423873</v>
      </c>
      <c r="E222" s="73" t="n">
        <v>0.0230547550432277</v>
      </c>
      <c r="F222" s="18" t="n">
        <v>0</v>
      </c>
      <c r="G222" s="20" t="n">
        <v>16</v>
      </c>
      <c r="H222" s="18" t="n">
        <v>4</v>
      </c>
      <c r="I222">
        <f t="array" ref="I222">IFERROR(INDEX($N$5:$N$271,MATCH(TRUE,EXACT(A222,$O$5:$O$271),)),"")</f>
        <v/>
      </c>
      <c r="J222" s="25">
        <f>IF(I222="","",IF(E222="","",G222))</f>
        <v/>
      </c>
      <c r="K222" s="26" t="n"/>
      <c r="N222" s="28" t="inlineStr">
        <is>
          <t>Sides</t>
        </is>
      </c>
      <c r="O222" s="29" t="inlineStr">
        <is>
          <t>Broccoli</t>
        </is>
      </c>
    </row>
    <row r="223">
      <c r="A223" s="15" t="inlineStr">
        <is>
          <t>Extra Crispy Bacon</t>
        </is>
      </c>
      <c r="B223" s="18" t="n">
        <v>64</v>
      </c>
      <c r="C223" s="73" t="n">
        <v>0.000410360841829619</v>
      </c>
      <c r="D223" s="73" t="n">
        <v>0.000565322083423873</v>
      </c>
      <c r="E223" s="73" t="n">
        <v>0.0230547550432277</v>
      </c>
      <c r="F223" s="18" t="n">
        <v>0</v>
      </c>
      <c r="G223" s="20" t="n">
        <v>16</v>
      </c>
      <c r="H223" s="18" t="n">
        <v>4</v>
      </c>
      <c r="I223">
        <f t="array" ref="I223">IFERROR(INDEX($N$5:$N$271,MATCH(TRUE,EXACT(A223,$O$5:$O$271),)),"")</f>
        <v/>
      </c>
      <c r="J223" s="25">
        <f>IF(I223="","",IF(E223="","",G223))</f>
        <v/>
      </c>
      <c r="K223" s="26" t="n"/>
      <c r="N223" s="28" t="inlineStr">
        <is>
          <t>Sides</t>
        </is>
      </c>
      <c r="O223" s="29" t="inlineStr">
        <is>
          <t>Asparagus Steam</t>
        </is>
      </c>
    </row>
    <row r="224">
      <c r="A224" s="15" t="inlineStr">
        <is>
          <t>Extra Beef Sausage</t>
        </is>
      </c>
      <c r="B224" s="18" t="n">
        <v>48</v>
      </c>
      <c r="C224" s="73" t="n">
        <v>0.000307770631372215</v>
      </c>
      <c r="D224" s="73" t="n">
        <v>0.000423991562567905</v>
      </c>
      <c r="E224" s="73" t="n">
        <v>0.0172910662824208</v>
      </c>
      <c r="F224" s="18" t="n">
        <v>0</v>
      </c>
      <c r="G224" s="20" t="n">
        <v>12</v>
      </c>
      <c r="H224" s="18" t="n">
        <v>4</v>
      </c>
      <c r="I224">
        <f t="array" ref="I224">IFERROR(INDEX($N$5:$N$271,MATCH(TRUE,EXACT(A224,$O$5:$O$271),)),"")</f>
        <v/>
      </c>
      <c r="J224" s="25">
        <f>IF(I224="","",IF(E224="","",G224))</f>
        <v/>
      </c>
      <c r="K224" s="26" t="n"/>
      <c r="N224" s="28" t="inlineStr">
        <is>
          <t>Sides</t>
        </is>
      </c>
      <c r="O224" s="29" t="inlineStr">
        <is>
          <t>Sprouting Broccoli</t>
        </is>
      </c>
    </row>
    <row r="225">
      <c r="A225" s="15" t="inlineStr">
        <is>
          <t>Extra Extra Chicken Sausage</t>
        </is>
      </c>
      <c r="B225" s="18" t="n">
        <v>48</v>
      </c>
      <c r="C225" s="73" t="n">
        <v>0.000307770631372215</v>
      </c>
      <c r="D225" s="73" t="n">
        <v>0.000423991562567905</v>
      </c>
      <c r="E225" s="73" t="n">
        <v>0.0172910662824208</v>
      </c>
      <c r="F225" s="18" t="n">
        <v>-4</v>
      </c>
      <c r="G225" s="20" t="n">
        <v>13</v>
      </c>
      <c r="H225" s="18" t="n">
        <v>3.69230769230769</v>
      </c>
      <c r="I225">
        <f t="array" ref="I225">IFERROR(INDEX($N$5:$N$271,MATCH(TRUE,EXACT(A225,$O$5:$O$271),)),"")</f>
        <v/>
      </c>
      <c r="J225" s="25">
        <f>IF(I225="","",IF(E225="","",G225))</f>
        <v/>
      </c>
      <c r="K225" s="26" t="n"/>
      <c r="N225" s="28" t="inlineStr">
        <is>
          <t>Sides</t>
        </is>
      </c>
      <c r="O225" s="29" t="inlineStr">
        <is>
          <t>Tomato Side</t>
        </is>
      </c>
    </row>
    <row r="226">
      <c r="A226" s="15" t="inlineStr">
        <is>
          <t>Extra Salmon</t>
        </is>
      </c>
      <c r="B226" s="18" t="n">
        <v>40</v>
      </c>
      <c r="C226" s="73" t="n">
        <v>0.000256475526143512</v>
      </c>
      <c r="D226" s="73" t="n">
        <v>0.000353326302139921</v>
      </c>
      <c r="E226" s="73" t="n">
        <v>0.0144092219020173</v>
      </c>
      <c r="F226" s="18" t="n">
        <v>0</v>
      </c>
      <c r="G226" s="20" t="n">
        <v>10</v>
      </c>
      <c r="H226" s="18" t="n">
        <v>4</v>
      </c>
      <c r="I226">
        <f t="array" ref="I226">IFERROR(INDEX($N$5:$N$271,MATCH(TRUE,EXACT(A226,$O$5:$O$271),)),"")</f>
        <v/>
      </c>
      <c r="J226" s="25">
        <f>IF(I226="","",IF(E226="","",G226))</f>
        <v/>
      </c>
      <c r="K226" s="26" t="n"/>
      <c r="N226" s="28" t="inlineStr">
        <is>
          <t>Sides</t>
        </is>
      </c>
      <c r="O226" s="29" t="inlineStr">
        <is>
          <t>Triple Chips</t>
        </is>
      </c>
    </row>
    <row r="227">
      <c r="A227" s="15" t="inlineStr">
        <is>
          <t>Extra Veg Sausage</t>
        </is>
      </c>
      <c r="B227" s="18" t="n">
        <v>32</v>
      </c>
      <c r="C227" s="73" t="n">
        <v>0.00020518042091481</v>
      </c>
      <c r="D227" s="73" t="n">
        <v>0.000282661041711937</v>
      </c>
      <c r="E227" s="73" t="n">
        <v>0.0115273775216138</v>
      </c>
      <c r="F227" s="18" t="n">
        <v>-4</v>
      </c>
      <c r="G227" s="20" t="n">
        <v>9</v>
      </c>
      <c r="H227" s="18" t="n">
        <v>3.55555555555556</v>
      </c>
      <c r="I227">
        <f t="array" ref="I227">IFERROR(INDEX($N$5:$N$271,MATCH(TRUE,EXACT(A227,$O$5:$O$271),)),"")</f>
        <v/>
      </c>
      <c r="J227" s="25">
        <f>IF(I227="","",IF(E227="","",G227))</f>
        <v/>
      </c>
      <c r="K227" s="26" t="n"/>
      <c r="N227" s="28" t="inlineStr">
        <is>
          <t>Sides</t>
        </is>
      </c>
      <c r="O227" s="29" t="inlineStr">
        <is>
          <t>Crudites</t>
        </is>
      </c>
    </row>
    <row r="228">
      <c r="A228" s="15" t="inlineStr">
        <is>
          <t>Extra Ham</t>
        </is>
      </c>
      <c r="B228" s="18" t="n">
        <v>8</v>
      </c>
      <c r="C228" s="73" t="n">
        <v>5.12951052287024e-05</v>
      </c>
      <c r="D228" s="73" t="n">
        <v>7.066526042798421e-05</v>
      </c>
      <c r="E228" s="73" t="n">
        <v>0.00288184438040346</v>
      </c>
      <c r="F228" s="18" t="n">
        <v>0</v>
      </c>
      <c r="G228" s="20" t="n">
        <v>2</v>
      </c>
      <c r="H228" s="18" t="n">
        <v>4</v>
      </c>
      <c r="I228">
        <f t="array" ref="I228">IFERROR(INDEX($N$5:$N$271,MATCH(TRUE,EXACT(A228,$O$5:$O$271),)),"")</f>
        <v/>
      </c>
      <c r="J228" s="25">
        <f>IF(I228="","",IF(E228="","",G228))</f>
        <v/>
      </c>
      <c r="K228" s="26" t="n"/>
      <c r="N228" s="28" t="inlineStr">
        <is>
          <t>Sides</t>
        </is>
      </c>
      <c r="O228" s="29" t="inlineStr">
        <is>
          <t>Fries</t>
        </is>
      </c>
    </row>
    <row r="229">
      <c r="A229" s="15" t="inlineStr">
        <is>
          <t>Extra Turkey Bacon</t>
        </is>
      </c>
      <c r="B229" s="18" t="n">
        <v>8</v>
      </c>
      <c r="C229" s="73" t="n">
        <v>5.12951052287024e-05</v>
      </c>
      <c r="D229" s="73" t="n">
        <v>7.066526042798421e-05</v>
      </c>
      <c r="E229" s="73" t="n">
        <v>0.00288184438040346</v>
      </c>
      <c r="F229" s="18" t="n">
        <v>0</v>
      </c>
      <c r="G229" s="20" t="n">
        <v>2</v>
      </c>
      <c r="H229" s="18" t="n">
        <v>4</v>
      </c>
      <c r="I229">
        <f t="array" ref="I229">IFERROR(INDEX($N$5:$N$271,MATCH(TRUE,EXACT(A229,$O$5:$O$271),)),"")</f>
        <v/>
      </c>
      <c r="J229" s="25">
        <f>IF(I229="","",IF(E229="","",G229))</f>
        <v/>
      </c>
      <c r="K229" s="26" t="n"/>
      <c r="N229" s="28" t="inlineStr">
        <is>
          <t>Sides</t>
        </is>
      </c>
      <c r="O229" s="29" t="inlineStr">
        <is>
          <t>Chicken Wings</t>
        </is>
      </c>
    </row>
    <row r="230">
      <c r="A230" s="17" t="inlineStr">
        <is>
          <t>Kids Menu</t>
        </is>
      </c>
      <c r="B230" s="13" t="n">
        <v>2528.6</v>
      </c>
      <c r="C230" s="70" t="n">
        <v>0.0162131003851621</v>
      </c>
      <c r="D230" s="70" t="n">
        <v>0.0223355221897751</v>
      </c>
      <c r="E230" s="15" t="inlineStr"/>
      <c r="F230" s="13" t="n">
        <v>-2.4</v>
      </c>
      <c r="G230" s="16" t="n">
        <v>212</v>
      </c>
      <c r="H230" s="13" t="n">
        <v>11.927358490566</v>
      </c>
      <c r="I230">
        <f t="array" ref="I230">IFERROR(INDEX($N$5:$N$271,MATCH(TRUE,EXACT(A230,$O$5:$O$271),)),"")</f>
        <v/>
      </c>
      <c r="J230" s="25">
        <f>IF(I230="","",IF(E230="","",G230))</f>
        <v/>
      </c>
      <c r="K230" s="26" t="n"/>
      <c r="N230" s="28" t="inlineStr">
        <is>
          <t>Sides</t>
        </is>
      </c>
      <c r="O230" s="29" t="inlineStr">
        <is>
          <t>Corn Chips Guacamole</t>
        </is>
      </c>
    </row>
    <row r="231">
      <c r="A231" s="15" t="inlineStr">
        <is>
          <t>NTH Kids Chicken Goujons</t>
        </is>
      </c>
      <c r="B231" s="18" t="n">
        <v>462</v>
      </c>
      <c r="C231" s="73" t="n">
        <v>0.00296229232695757</v>
      </c>
      <c r="D231" s="73" t="n">
        <v>0.00408091878971608</v>
      </c>
      <c r="E231" s="73" t="n">
        <v>0.182709799889267</v>
      </c>
      <c r="F231" s="18" t="n">
        <v>0</v>
      </c>
      <c r="G231" s="20" t="n">
        <v>33</v>
      </c>
      <c r="H231" s="18" t="n">
        <v>14</v>
      </c>
      <c r="I231">
        <f t="array" ref="I231">IFERROR(INDEX($N$5:$N$271,MATCH(TRUE,EXACT(A231,$O$5:$O$271),)),"")</f>
        <v/>
      </c>
      <c r="J231" s="25">
        <f>IF(I231="","",IF(E231="","",G231))</f>
        <v/>
      </c>
      <c r="K231" s="26" t="n">
        <v>1</v>
      </c>
      <c r="N231" s="28" t="inlineStr">
        <is>
          <t>Sides</t>
        </is>
      </c>
      <c r="O231" s="29" t="inlineStr">
        <is>
          <t>Brie Fritters</t>
        </is>
      </c>
    </row>
    <row r="232">
      <c r="A232" s="15" t="inlineStr">
        <is>
          <t>Kids Margherita Pizza</t>
        </is>
      </c>
      <c r="B232" s="18" t="n">
        <v>350</v>
      </c>
      <c r="C232" s="73" t="n">
        <v>0.00224416085375573</v>
      </c>
      <c r="D232" s="73" t="n">
        <v>0.00309160514372431</v>
      </c>
      <c r="E232" s="73" t="n">
        <v>0.138416515067626</v>
      </c>
      <c r="F232" s="18" t="n">
        <v>0</v>
      </c>
      <c r="G232" s="20" t="n">
        <v>25</v>
      </c>
      <c r="H232" s="18" t="n">
        <v>14</v>
      </c>
      <c r="I232">
        <f t="array" ref="I232">IFERROR(INDEX($N$5:$N$271,MATCH(TRUE,EXACT(A232,$O$5:$O$271),)),"")</f>
        <v/>
      </c>
      <c r="J232" s="25">
        <f>IF(I232="","",IF(E232="","",G232))</f>
        <v/>
      </c>
      <c r="K232" s="26" t="n">
        <v>2</v>
      </c>
      <c r="N232" s="28" t="inlineStr">
        <is>
          <t>Sides</t>
        </is>
      </c>
      <c r="O232" s="29" t="inlineStr">
        <is>
          <t>Vegan Carrots</t>
        </is>
      </c>
    </row>
    <row r="233">
      <c r="A233" s="15" t="inlineStr">
        <is>
          <t>NTH Kids Milkshake</t>
        </is>
      </c>
      <c r="B233" s="18" t="n">
        <v>349.6</v>
      </c>
      <c r="C233" s="73" t="n">
        <v>0.0022415960984943</v>
      </c>
      <c r="D233" s="73" t="n">
        <v>0.00308807188070291</v>
      </c>
      <c r="E233" s="73" t="n">
        <v>0.138258324764692</v>
      </c>
      <c r="F233" s="18" t="n">
        <v>-2.4</v>
      </c>
      <c r="G233" s="20" t="n">
        <v>44</v>
      </c>
      <c r="H233" s="18" t="n">
        <v>7.94545454545455</v>
      </c>
      <c r="I233">
        <f t="array" ref="I233">IFERROR(INDEX($N$5:$N$271,MATCH(TRUE,EXACT(A233,$O$5:$O$271),)),"")</f>
        <v/>
      </c>
      <c r="J233" s="25">
        <f>IF(I233="","",IF(E233="","",G233))</f>
        <v/>
      </c>
      <c r="K233" s="26" t="n">
        <v>3</v>
      </c>
      <c r="N233" s="28" t="inlineStr">
        <is>
          <t>Sides</t>
        </is>
      </c>
      <c r="O233" s="29" t="inlineStr">
        <is>
          <t>Vegan Fries</t>
        </is>
      </c>
    </row>
    <row r="234">
      <c r="A234" s="15" t="inlineStr">
        <is>
          <t>NTH Kids Penne Tomato</t>
        </is>
      </c>
      <c r="B234" s="18" t="n">
        <v>308</v>
      </c>
      <c r="C234" s="73" t="n">
        <v>0.00197486155130504</v>
      </c>
      <c r="D234" s="73" t="n">
        <v>0.00272061252647739</v>
      </c>
      <c r="E234" s="73" t="n">
        <v>0.121806533259511</v>
      </c>
      <c r="F234" s="18" t="n">
        <v>0</v>
      </c>
      <c r="G234" s="20" t="n">
        <v>22</v>
      </c>
      <c r="H234" s="18" t="n">
        <v>14</v>
      </c>
      <c r="I234">
        <f t="array" ref="I234">IFERROR(INDEX($N$5:$N$271,MATCH(TRUE,EXACT(A234,$O$5:$O$271),)),"")</f>
        <v/>
      </c>
      <c r="J234" s="25">
        <f>IF(I234="","",IF(E234="","",G234))</f>
        <v/>
      </c>
      <c r="K234" s="26" t="n">
        <v>4</v>
      </c>
      <c r="N234" s="28" t="inlineStr">
        <is>
          <t>Sides</t>
        </is>
      </c>
      <c r="O234" s="29" t="inlineStr">
        <is>
          <t>Vegan Spinach Steamed</t>
        </is>
      </c>
    </row>
    <row r="235">
      <c r="A235" s="15" t="inlineStr">
        <is>
          <t>NTH Kids Fish &amp; Chips</t>
        </is>
      </c>
      <c r="B235" s="18" t="n">
        <v>210</v>
      </c>
      <c r="C235" s="73" t="n">
        <v>0.00134649651225344</v>
      </c>
      <c r="D235" s="73" t="n">
        <v>0.00185496308623458</v>
      </c>
      <c r="E235" s="73" t="n">
        <v>0.0830499090405758</v>
      </c>
      <c r="F235" s="18" t="n">
        <v>0</v>
      </c>
      <c r="G235" s="20" t="n">
        <v>14</v>
      </c>
      <c r="H235" s="18" t="n">
        <v>15</v>
      </c>
      <c r="I235">
        <f t="array" ref="I235">IFERROR(INDEX($N$5:$N$271,MATCH(TRUE,EXACT(A235,$O$5:$O$271),)),"")</f>
        <v/>
      </c>
      <c r="J235" s="25">
        <f>IF(I235="","",IF(E235="","",G235))</f>
        <v/>
      </c>
      <c r="K235" s="26" t="n">
        <v>5</v>
      </c>
      <c r="N235" s="28" t="inlineStr">
        <is>
          <t>Sides</t>
        </is>
      </c>
      <c r="O235" s="29" t="inlineStr">
        <is>
          <t>.</t>
        </is>
      </c>
    </row>
    <row r="236">
      <c r="A236" s="15" t="inlineStr">
        <is>
          <t>NTH Kids Penne Bolognese</t>
        </is>
      </c>
      <c r="B236" s="18" t="n">
        <v>210</v>
      </c>
      <c r="C236" s="73" t="n">
        <v>0.00134649651225344</v>
      </c>
      <c r="D236" s="73" t="n">
        <v>0.00185496308623458</v>
      </c>
      <c r="E236" s="73" t="n">
        <v>0.0830499090405758</v>
      </c>
      <c r="F236" s="18" t="n">
        <v>0</v>
      </c>
      <c r="G236" s="20" t="n">
        <v>15</v>
      </c>
      <c r="H236" s="18" t="n">
        <v>14</v>
      </c>
      <c r="I236">
        <f t="array" ref="I236">IFERROR(INDEX($N$5:$N$271,MATCH(TRUE,EXACT(A236,$O$5:$O$271),)),"")</f>
        <v/>
      </c>
      <c r="J236" s="25">
        <f>IF(I236="","",IF(E236="","",G236))</f>
        <v/>
      </c>
      <c r="K236" s="26" t="n">
        <v>6</v>
      </c>
      <c r="N236" s="28" t="inlineStr">
        <is>
          <t>Sides</t>
        </is>
      </c>
      <c r="O236" s="29" t="inlineStr">
        <is>
          <t>.</t>
        </is>
      </c>
    </row>
    <row r="237">
      <c r="A237" s="15" t="inlineStr">
        <is>
          <t>NTH Kids Burger</t>
        </is>
      </c>
      <c r="B237" s="18" t="n">
        <v>154</v>
      </c>
      <c r="C237" s="73" t="n">
        <v>0.0009874307756525221</v>
      </c>
      <c r="D237" s="73" t="n">
        <v>0.00136030626323869</v>
      </c>
      <c r="E237" s="73" t="n">
        <v>0.0609032666297556</v>
      </c>
      <c r="F237" s="18" t="n">
        <v>0</v>
      </c>
      <c r="G237" s="20" t="n">
        <v>11</v>
      </c>
      <c r="H237" s="18" t="n">
        <v>14</v>
      </c>
      <c r="I237">
        <f t="array" ref="I237">IFERROR(INDEX($N$5:$N$271,MATCH(TRUE,EXACT(A237,$O$5:$O$271),)),"")</f>
        <v/>
      </c>
      <c r="J237" s="25">
        <f>IF(I237="","",IF(E237="","",G237))</f>
        <v/>
      </c>
      <c r="K237" s="26" t="n">
        <v>7</v>
      </c>
      <c r="N237" s="28" t="inlineStr">
        <is>
          <t>Sides</t>
        </is>
      </c>
      <c r="O237" s="29" t="inlineStr">
        <is>
          <t>.</t>
        </is>
      </c>
    </row>
    <row r="238">
      <c r="A238" s="15" t="inlineStr">
        <is>
          <t>NTH Kids Garlic Bread</t>
        </is>
      </c>
      <c r="B238" s="18" t="n">
        <v>117</v>
      </c>
      <c r="C238" s="73" t="n">
        <v>0.000750190913969773</v>
      </c>
      <c r="D238" s="73" t="n">
        <v>0.00103347943375927</v>
      </c>
      <c r="E238" s="73" t="n">
        <v>0.0462706636083208</v>
      </c>
      <c r="F238" s="18" t="n">
        <v>0</v>
      </c>
      <c r="G238" s="20" t="n">
        <v>13</v>
      </c>
      <c r="H238" s="18" t="n">
        <v>9</v>
      </c>
      <c r="I238">
        <f t="array" ref="I238">IFERROR(INDEX($N$5:$N$271,MATCH(TRUE,EXACT(A238,$O$5:$O$271),)),"")</f>
        <v/>
      </c>
      <c r="J238" s="25">
        <f>IF(I238="","",IF(E238="","",G238))</f>
        <v/>
      </c>
      <c r="K238" s="26" t="n">
        <v>8</v>
      </c>
      <c r="N238" s="28" t="inlineStr">
        <is>
          <t>Sides</t>
        </is>
      </c>
      <c r="O238" s="29" t="inlineStr">
        <is>
          <t>.</t>
        </is>
      </c>
    </row>
    <row r="239">
      <c r="A239" s="15" t="inlineStr">
        <is>
          <t>Kids Butter</t>
        </is>
      </c>
      <c r="B239" s="18" t="n">
        <v>84</v>
      </c>
      <c r="C239" s="73" t="n">
        <v>0.000538598604901376</v>
      </c>
      <c r="D239" s="73" t="n">
        <v>0.000741985234493834</v>
      </c>
      <c r="E239" s="73" t="n">
        <v>0.0332199636162303</v>
      </c>
      <c r="F239" s="18" t="n">
        <v>0</v>
      </c>
      <c r="G239" s="20" t="n">
        <v>6</v>
      </c>
      <c r="H239" s="18" t="n">
        <v>14</v>
      </c>
      <c r="I239">
        <f t="array" ref="I239">IFERROR(INDEX($N$5:$N$271,MATCH(TRUE,EXACT(A239,$O$5:$O$271),)),"")</f>
        <v/>
      </c>
      <c r="J239" s="25">
        <f>IF(I239="","",IF(E239="","",G239))</f>
        <v/>
      </c>
      <c r="K239" s="26" t="n">
        <v>9</v>
      </c>
      <c r="N239" s="28" t="inlineStr">
        <is>
          <t>Sides</t>
        </is>
      </c>
      <c r="O239" s="29" t="inlineStr">
        <is>
          <t>.</t>
        </is>
      </c>
    </row>
    <row r="240">
      <c r="A240" s="15" t="inlineStr">
        <is>
          <t>NTH Kids Sole Goujons</t>
        </is>
      </c>
      <c r="B240" s="18" t="n">
        <v>84</v>
      </c>
      <c r="C240" s="73" t="n">
        <v>0.000538598604901376</v>
      </c>
      <c r="D240" s="73" t="n">
        <v>0.000741985234493834</v>
      </c>
      <c r="E240" s="73" t="n">
        <v>0.0332199636162303</v>
      </c>
      <c r="F240" s="18" t="n">
        <v>0</v>
      </c>
      <c r="G240" s="20" t="n">
        <v>6</v>
      </c>
      <c r="H240" s="18" t="n">
        <v>14</v>
      </c>
      <c r="I240">
        <f t="array" ref="I240">IFERROR(INDEX($N$5:$N$271,MATCH(TRUE,EXACT(A240,$O$5:$O$271),)),"")</f>
        <v/>
      </c>
      <c r="J240" s="25">
        <f>IF(I240="","",IF(E240="","",G240))</f>
        <v/>
      </c>
      <c r="K240" s="26" t="n">
        <v>10</v>
      </c>
      <c r="N240" s="28" t="inlineStr">
        <is>
          <t>Sides</t>
        </is>
      </c>
      <c r="O240" s="29" t="inlineStr">
        <is>
          <t>.</t>
        </is>
      </c>
    </row>
    <row r="241" ht="14.75" customHeight="1">
      <c r="A241" s="15" t="inlineStr">
        <is>
          <t>NTH Kids Calamari</t>
        </is>
      </c>
      <c r="B241" s="18" t="n">
        <v>66</v>
      </c>
      <c r="C241" s="73" t="n">
        <v>0.000423184618136795</v>
      </c>
      <c r="D241" s="73" t="n">
        <v>0.000582988398530869</v>
      </c>
      <c r="E241" s="73" t="n">
        <v>0.026101399984181</v>
      </c>
      <c r="F241" s="18" t="n">
        <v>0</v>
      </c>
      <c r="G241" s="20" t="n">
        <v>6</v>
      </c>
      <c r="H241" s="18" t="n">
        <v>11</v>
      </c>
      <c r="I241">
        <f t="array" ref="I241">IFERROR(INDEX($N$5:$N$271,MATCH(TRUE,EXACT(A241,$O$5:$O$271),)),"")</f>
        <v/>
      </c>
      <c r="J241" s="25">
        <f>IF(I241="","",IF(E241="","",G241))</f>
        <v/>
      </c>
      <c r="K241" s="26" t="n">
        <v>11</v>
      </c>
      <c r="N241" s="28" t="inlineStr">
        <is>
          <t>Sides</t>
        </is>
      </c>
      <c r="O241" s="29" t="inlineStr">
        <is>
          <t>.</t>
        </is>
      </c>
    </row>
    <row r="242" ht="14.75" customHeight="1">
      <c r="A242" s="15" t="inlineStr">
        <is>
          <t>NTH Kids Seasonal Veg</t>
        </is>
      </c>
      <c r="B242" s="18" t="n">
        <v>42</v>
      </c>
      <c r="C242" s="73" t="n">
        <v>0.000269299302450688</v>
      </c>
      <c r="D242" s="73" t="n">
        <v>0.000370992617246917</v>
      </c>
      <c r="E242" s="73" t="n">
        <v>0.0166099818081152</v>
      </c>
      <c r="F242" s="18" t="n">
        <v>0</v>
      </c>
      <c r="G242" s="20" t="n">
        <v>6</v>
      </c>
      <c r="H242" s="18" t="n">
        <v>7</v>
      </c>
      <c r="I242">
        <f t="array" ref="I242">IFERROR(INDEX($N$5:$N$271,MATCH(TRUE,EXACT(A242,$O$5:$O$271),)),"")</f>
        <v/>
      </c>
      <c r="J242" s="25">
        <f>IF(I242="","",IF(E242="","",G242))</f>
        <v/>
      </c>
      <c r="K242" s="26" t="n">
        <v>12</v>
      </c>
      <c r="N242" s="30" t="inlineStr">
        <is>
          <t>Kids</t>
        </is>
      </c>
      <c r="O242" s="29" t="inlineStr">
        <is>
          <t>NTH Kids Fish &amp; Chips</t>
        </is>
      </c>
    </row>
    <row r="243">
      <c r="A243" s="15" t="inlineStr">
        <is>
          <t>Kids Jude Ice Cream</t>
        </is>
      </c>
      <c r="B243" s="18" t="n">
        <v>32</v>
      </c>
      <c r="C243" s="73" t="n">
        <v>0.00020518042091481</v>
      </c>
      <c r="D243" s="73" t="n">
        <v>0.000282661041711937</v>
      </c>
      <c r="E243" s="73" t="n">
        <v>0.0126552242347544</v>
      </c>
      <c r="F243" s="18" t="n">
        <v>0</v>
      </c>
      <c r="G243" s="20" t="n">
        <v>4</v>
      </c>
      <c r="H243" s="18" t="n">
        <v>8</v>
      </c>
      <c r="I243">
        <f t="array" ref="I243">IFERROR(INDEX($N$5:$N$271,MATCH(TRUE,EXACT(A243,$O$5:$O$271),)),"")</f>
        <v/>
      </c>
      <c r="J243" s="25">
        <f>IF(I243="","",IF(E243="","",G243))</f>
        <v/>
      </c>
      <c r="K243" s="26" t="n">
        <v>13</v>
      </c>
      <c r="N243" s="28" t="inlineStr">
        <is>
          <t>Kids</t>
        </is>
      </c>
      <c r="O243" s="29" t="inlineStr">
        <is>
          <t>NTH Kids Chicken Goujons</t>
        </is>
      </c>
    </row>
    <row r="244">
      <c r="A244" s="15" t="inlineStr">
        <is>
          <t>NTH Kids Pea Soup</t>
        </is>
      </c>
      <c r="B244" s="18" t="n">
        <v>22</v>
      </c>
      <c r="C244" s="73" t="n">
        <v>0.000141061539378932</v>
      </c>
      <c r="D244" s="73" t="n">
        <v>0.000194329466176956</v>
      </c>
      <c r="E244" s="73" t="n">
        <v>0.008700466661393661</v>
      </c>
      <c r="F244" s="18" t="n">
        <v>0</v>
      </c>
      <c r="G244" s="20" t="n">
        <v>2</v>
      </c>
      <c r="H244" s="18" t="n">
        <v>11</v>
      </c>
      <c r="I244">
        <f t="array" ref="I244">IFERROR(INDEX($N$5:$N$271,MATCH(TRUE,EXACT(A244,$O$5:$O$271),)),"")</f>
        <v/>
      </c>
      <c r="J244" s="25">
        <f>IF(I244="","",IF(E244="","",G244))</f>
        <v/>
      </c>
      <c r="K244" s="26" t="n">
        <v>14</v>
      </c>
      <c r="N244" s="28" t="inlineStr">
        <is>
          <t>Kids</t>
        </is>
      </c>
      <c r="O244" s="29" t="inlineStr">
        <is>
          <t>NTH Kids Milkshake</t>
        </is>
      </c>
    </row>
    <row r="245">
      <c r="A245" s="15" t="inlineStr">
        <is>
          <t>NTH Kids French Fries</t>
        </is>
      </c>
      <c r="B245" s="18" t="n">
        <v>14</v>
      </c>
      <c r="C245" s="73" t="n">
        <v>8.97664341502293e-05</v>
      </c>
      <c r="D245" s="73" t="n">
        <v>0.000123664205748972</v>
      </c>
      <c r="E245" s="73" t="n">
        <v>0.00553666060270505</v>
      </c>
      <c r="F245" s="18" t="n">
        <v>0</v>
      </c>
      <c r="G245" s="20" t="n">
        <v>2</v>
      </c>
      <c r="H245" s="18" t="n">
        <v>7</v>
      </c>
      <c r="I245">
        <f t="array" ref="I245">IFERROR(INDEX($N$5:$N$271,MATCH(TRUE,EXACT(A245,$O$5:$O$271),)),"")</f>
        <v/>
      </c>
      <c r="J245" s="25">
        <f>IF(I245="","",IF(E245="","",G245))</f>
        <v/>
      </c>
      <c r="K245" s="26" t="n">
        <v>15</v>
      </c>
      <c r="N245" s="28" t="inlineStr">
        <is>
          <t>Kids</t>
        </is>
      </c>
      <c r="O245" s="29" t="inlineStr">
        <is>
          <t>NTH Kids Burger</t>
        </is>
      </c>
    </row>
    <row r="246">
      <c r="A246" s="15" t="inlineStr">
        <is>
          <t>NTH Kids New Potato</t>
        </is>
      </c>
      <c r="B246" s="18" t="n">
        <v>14</v>
      </c>
      <c r="C246" s="73" t="n">
        <v>8.97664341502293e-05</v>
      </c>
      <c r="D246" s="73" t="n">
        <v>0.000123664205748972</v>
      </c>
      <c r="E246" s="73" t="n">
        <v>0.00553666060270505</v>
      </c>
      <c r="F246" s="18" t="n">
        <v>0</v>
      </c>
      <c r="G246" s="20" t="n">
        <v>2</v>
      </c>
      <c r="H246" s="18" t="n">
        <v>7</v>
      </c>
      <c r="I246">
        <f t="array" ref="I246">IFERROR(INDEX($N$5:$N$271,MATCH(TRUE,EXACT(A246,$O$5:$O$271),)),"")</f>
        <v/>
      </c>
      <c r="J246" s="25">
        <f>IF(I246="","",IF(E246="","",G246))</f>
        <v/>
      </c>
      <c r="K246" s="26" t="n">
        <v>16</v>
      </c>
      <c r="N246" s="28" t="inlineStr">
        <is>
          <t>Kids</t>
        </is>
      </c>
      <c r="O246" s="29" t="inlineStr">
        <is>
          <t>NTH Kids Sole Goujons</t>
        </is>
      </c>
    </row>
    <row r="247">
      <c r="A247" s="15" t="inlineStr">
        <is>
          <t>NTH Kids Chopped Tomato</t>
        </is>
      </c>
      <c r="B247" s="18" t="n">
        <v>10</v>
      </c>
      <c r="C247" s="73" t="n">
        <v>6.411888153587811e-05</v>
      </c>
      <c r="D247" s="73" t="n">
        <v>8.833157553498019e-05</v>
      </c>
      <c r="E247" s="73" t="n">
        <v>0.00395475757336075</v>
      </c>
      <c r="F247" s="18" t="n">
        <v>0</v>
      </c>
      <c r="G247" s="20" t="n">
        <v>1</v>
      </c>
      <c r="H247" s="18" t="n">
        <v>10</v>
      </c>
      <c r="I247">
        <f t="array" ref="I247">IFERROR(INDEX($N$5:$N$271,MATCH(TRUE,EXACT(A247,$O$5:$O$271),)),"")</f>
        <v/>
      </c>
      <c r="J247" s="25">
        <f>IF(I247="","",IF(E247="","",G247))</f>
        <v/>
      </c>
      <c r="K247" s="26" t="n">
        <v>17</v>
      </c>
      <c r="N247" s="28" t="inlineStr">
        <is>
          <t>Kids</t>
        </is>
      </c>
      <c r="O247" s="29" t="inlineStr">
        <is>
          <t>Kids Margherita Pizza</t>
        </is>
      </c>
    </row>
    <row r="248">
      <c r="A248" s="17" t="inlineStr">
        <is>
          <t>Fish Dishes</t>
        </is>
      </c>
      <c r="B248" s="13" t="n">
        <v>2390.1</v>
      </c>
      <c r="C248" s="70" t="n">
        <v>0.0153250538758902</v>
      </c>
      <c r="D248" s="70" t="n">
        <v>0.0211121298686156</v>
      </c>
      <c r="E248" s="15" t="inlineStr"/>
      <c r="F248" s="13" t="n">
        <v>-5.9</v>
      </c>
      <c r="G248" s="16" t="n">
        <v>81</v>
      </c>
      <c r="H248" s="13" t="n">
        <v>29.5074074074074</v>
      </c>
      <c r="I248">
        <f t="array" ref="I248">IFERROR(INDEX($N$5:$N$271,MATCH(TRUE,EXACT(A248,$O$5:$O$271),)),"")</f>
        <v/>
      </c>
      <c r="J248" s="25">
        <f>IF(I248="","",IF(E248="","",G248))</f>
        <v/>
      </c>
      <c r="K248" s="26" t="n"/>
      <c r="N248" s="28" t="inlineStr">
        <is>
          <t>Kids</t>
        </is>
      </c>
      <c r="O248" s="29" t="inlineStr">
        <is>
          <t>NTH Kids Penne Bolognese</t>
        </is>
      </c>
    </row>
    <row r="249">
      <c r="A249" s="15" t="inlineStr">
        <is>
          <t>Roasted Seabass</t>
        </is>
      </c>
      <c r="B249" s="18" t="n">
        <v>1407</v>
      </c>
      <c r="C249" s="73" t="n">
        <v>0.009021526632098041</v>
      </c>
      <c r="D249" s="73" t="n">
        <v>0.0124282526777717</v>
      </c>
      <c r="E249" s="73" t="n">
        <v>0.588678297979164</v>
      </c>
      <c r="F249" s="18" t="n">
        <v>-3</v>
      </c>
      <c r="G249" s="20" t="n">
        <v>47</v>
      </c>
      <c r="H249" s="18" t="n">
        <v>29.936170212766</v>
      </c>
      <c r="I249">
        <f t="array" ref="I249">IFERROR(INDEX($N$5:$N$271,MATCH(TRUE,EXACT(A249,$O$5:$O$271),)),"")</f>
        <v/>
      </c>
      <c r="J249" s="25">
        <f>IF(I249="","",IF(E249="","",G249))</f>
        <v/>
      </c>
      <c r="K249" s="26" t="n">
        <v>4</v>
      </c>
      <c r="N249" s="28" t="inlineStr">
        <is>
          <t>Kids</t>
        </is>
      </c>
      <c r="O249" s="29" t="inlineStr">
        <is>
          <t>Kids Butter</t>
        </is>
      </c>
    </row>
    <row r="250">
      <c r="A250" s="15" t="inlineStr">
        <is>
          <t>Grill Salmon</t>
        </is>
      </c>
      <c r="B250" s="18" t="n">
        <v>983.1</v>
      </c>
      <c r="C250" s="73" t="n">
        <v>0.00630352724379217</v>
      </c>
      <c r="D250" s="73" t="n">
        <v>0.008683877190843899</v>
      </c>
      <c r="E250" s="73" t="n">
        <v>0.411321702020836</v>
      </c>
      <c r="F250" s="18" t="n">
        <v>-2.9</v>
      </c>
      <c r="G250" s="20" t="n">
        <v>34</v>
      </c>
      <c r="H250" s="18" t="n">
        <v>28.9147058823529</v>
      </c>
      <c r="I250">
        <f t="array" ref="I250">IFERROR(INDEX($N$5:$N$271,MATCH(TRUE,EXACT(A250,$O$5:$O$271),)),"")</f>
        <v/>
      </c>
      <c r="J250" s="25">
        <f>IF(I250="","",IF(E250="","",G250))</f>
        <v/>
      </c>
      <c r="K250" s="26" t="n">
        <v>5</v>
      </c>
      <c r="N250" s="28" t="inlineStr">
        <is>
          <t>Kids</t>
        </is>
      </c>
      <c r="O250" s="29" t="inlineStr">
        <is>
          <t>NTH Kids Penne Tomato</t>
        </is>
      </c>
    </row>
    <row r="251">
      <c r="A251" s="17" t="inlineStr">
        <is>
          <t>Entree Appetizer</t>
        </is>
      </c>
      <c r="B251" s="13" t="n">
        <v>2338.6</v>
      </c>
      <c r="C251" s="70" t="n">
        <v>0.0149948416359804</v>
      </c>
      <c r="D251" s="70" t="n">
        <v>0.0206572222546105</v>
      </c>
      <c r="E251" s="15" t="inlineStr"/>
      <c r="F251" s="13" t="n">
        <v>-1.4</v>
      </c>
      <c r="G251" s="16" t="n">
        <v>140</v>
      </c>
      <c r="H251" s="13" t="n">
        <v>16.7042857142857</v>
      </c>
      <c r="I251">
        <f t="array" ref="I251">IFERROR(INDEX($N$5:$N$271,MATCH(TRUE,EXACT(A251,$O$5:$O$271),)),"")</f>
        <v/>
      </c>
      <c r="J251" s="25">
        <f>IF(I251="","",IF(E251="","",G251))</f>
        <v/>
      </c>
      <c r="K251" s="26" t="n"/>
      <c r="N251" s="28" t="inlineStr">
        <is>
          <t>Kids</t>
        </is>
      </c>
      <c r="O251" s="29" t="inlineStr">
        <is>
          <t>NTH Kids Calamari</t>
        </is>
      </c>
    </row>
    <row r="252">
      <c r="A252" s="15" t="inlineStr">
        <is>
          <t>Mayo Squid</t>
        </is>
      </c>
      <c r="B252" s="18" t="n">
        <v>705</v>
      </c>
      <c r="C252" s="73" t="n">
        <v>0.0045203811482794</v>
      </c>
      <c r="D252" s="73" t="n">
        <v>0.0062273760752161</v>
      </c>
      <c r="E252" s="73" t="n">
        <v>0.301462413409732</v>
      </c>
      <c r="F252" s="18" t="n">
        <v>0</v>
      </c>
      <c r="G252" s="20" t="n">
        <v>47</v>
      </c>
      <c r="H252" s="18" t="n">
        <v>15</v>
      </c>
      <c r="I252">
        <f t="array" ref="I252">IFERROR(INDEX($N$5:$N$271,MATCH(TRUE,EXACT(A252,$O$5:$O$271),)),"")</f>
        <v/>
      </c>
      <c r="J252" s="25">
        <f>IF(I252="","",IF(E252="","",G252))</f>
        <v/>
      </c>
      <c r="K252" s="26" t="n">
        <v>1</v>
      </c>
      <c r="N252" s="28" t="inlineStr">
        <is>
          <t>Kids</t>
        </is>
      </c>
      <c r="O252" s="29" t="inlineStr">
        <is>
          <t>NTH Kids Garlic Bread</t>
        </is>
      </c>
    </row>
    <row r="253">
      <c r="A253" s="15" t="inlineStr">
        <is>
          <t>Prawn Cocktail</t>
        </is>
      </c>
      <c r="B253" s="18" t="n">
        <v>510</v>
      </c>
      <c r="C253" s="73" t="n">
        <v>0.00327006295832978</v>
      </c>
      <c r="D253" s="73" t="n">
        <v>0.00450491035228399</v>
      </c>
      <c r="E253" s="73" t="n">
        <v>0.218079192679381</v>
      </c>
      <c r="F253" s="18" t="n">
        <v>0</v>
      </c>
      <c r="G253" s="20" t="n">
        <v>34</v>
      </c>
      <c r="H253" s="18" t="n">
        <v>15</v>
      </c>
      <c r="I253">
        <f t="array" ref="I253">IFERROR(INDEX($N$5:$N$271,MATCH(TRUE,EXACT(A253,$O$5:$O$271),)),"")</f>
        <v/>
      </c>
      <c r="J253" s="25">
        <f>IF(I253="","",IF(E253="","",G253))</f>
        <v/>
      </c>
      <c r="K253" s="26" t="n">
        <v>2</v>
      </c>
      <c r="N253" s="28" t="inlineStr">
        <is>
          <t>Kids</t>
        </is>
      </c>
      <c r="O253" s="29" t="inlineStr">
        <is>
          <t>NTH Kids Seasonal Veg</t>
        </is>
      </c>
    </row>
    <row r="254">
      <c r="A254" s="15" t="inlineStr">
        <is>
          <t>Pea Veloute</t>
        </is>
      </c>
      <c r="B254" s="18" t="n">
        <v>418.6</v>
      </c>
      <c r="C254" s="73" t="n">
        <v>0.00268401638109186</v>
      </c>
      <c r="D254" s="73" t="n">
        <v>0.00369755975189427</v>
      </c>
      <c r="E254" s="73" t="n">
        <v>0.178995980501155</v>
      </c>
      <c r="F254" s="18" t="n">
        <v>-1.4</v>
      </c>
      <c r="G254" s="20" t="n">
        <v>30</v>
      </c>
      <c r="H254" s="18" t="n">
        <v>13.9533333333333</v>
      </c>
      <c r="I254">
        <f t="array" ref="I254">IFERROR(INDEX($N$5:$N$271,MATCH(TRUE,EXACT(A254,$O$5:$O$271),)),"")</f>
        <v/>
      </c>
      <c r="J254" s="25">
        <f>IF(I254="","",IF(E254="","",G254))</f>
        <v/>
      </c>
      <c r="K254" s="26" t="n">
        <v>3</v>
      </c>
      <c r="N254" s="28" t="inlineStr">
        <is>
          <t>Kids</t>
        </is>
      </c>
      <c r="O254" s="29" t="inlineStr">
        <is>
          <t>NTH Kids Pea Soup</t>
        </is>
      </c>
    </row>
    <row r="255">
      <c r="A255" s="15" t="inlineStr">
        <is>
          <t>Caviar Oscietra 30</t>
        </is>
      </c>
      <c r="B255" s="18" t="n">
        <v>185</v>
      </c>
      <c r="C255" s="73" t="n">
        <v>0.00118619930841374</v>
      </c>
      <c r="D255" s="73" t="n">
        <v>0.00163413414739713</v>
      </c>
      <c r="E255" s="73" t="n">
        <v>0.079107158128795</v>
      </c>
      <c r="F255" s="18" t="n">
        <v>0</v>
      </c>
      <c r="G255" s="20" t="n">
        <v>1</v>
      </c>
      <c r="H255" s="18" t="n">
        <v>185</v>
      </c>
      <c r="I255">
        <f t="array" ref="I255">IFERROR(INDEX($N$5:$N$271,MATCH(TRUE,EXACT(A255,$O$5:$O$271),)),"")</f>
        <v/>
      </c>
      <c r="J255" s="25">
        <f>IF(I255="","",IF(E255="","",G255))</f>
        <v/>
      </c>
      <c r="K255" s="26" t="n">
        <v>4</v>
      </c>
      <c r="N255" s="28" t="inlineStr">
        <is>
          <t>Kids</t>
        </is>
      </c>
      <c r="O255" s="29" t="inlineStr">
        <is>
          <t>NTH Kids Chopped Tomato</t>
        </is>
      </c>
    </row>
    <row r="256">
      <c r="A256" s="15" t="inlineStr">
        <is>
          <t>Rock Oyster 6</t>
        </is>
      </c>
      <c r="B256" s="18" t="n">
        <v>168</v>
      </c>
      <c r="C256" s="73" t="n">
        <v>0.00107719720980275</v>
      </c>
      <c r="D256" s="73" t="n">
        <v>0.00148397046898767</v>
      </c>
      <c r="E256" s="73" t="n">
        <v>0.07183785170614899</v>
      </c>
      <c r="F256" s="18" t="n">
        <v>0</v>
      </c>
      <c r="G256" s="20" t="n">
        <v>7</v>
      </c>
      <c r="H256" s="18" t="n">
        <v>24</v>
      </c>
      <c r="I256">
        <f t="array" ref="I256">IFERROR(INDEX($N$5:$N$271,MATCH(TRUE,EXACT(A256,$O$5:$O$271),)),"")</f>
        <v/>
      </c>
      <c r="J256" s="25">
        <f>IF(I256="","",IF(E256="","",G256))</f>
        <v/>
      </c>
      <c r="K256" s="26" t="n">
        <v>5</v>
      </c>
      <c r="N256" s="28" t="inlineStr">
        <is>
          <t>Kids</t>
        </is>
      </c>
      <c r="O256" s="29" t="inlineStr">
        <is>
          <t>Kids Jude Ice Cream</t>
        </is>
      </c>
    </row>
    <row r="257">
      <c r="A257" s="15" t="inlineStr">
        <is>
          <t>Royal Salmon</t>
        </is>
      </c>
      <c r="B257" s="18" t="n">
        <v>160</v>
      </c>
      <c r="C257" s="73" t="n">
        <v>0.00102590210457405</v>
      </c>
      <c r="D257" s="73" t="n">
        <v>0.00141330520855968</v>
      </c>
      <c r="E257" s="73" t="n">
        <v>0.0684170016249038</v>
      </c>
      <c r="F257" s="18" t="n">
        <v>0</v>
      </c>
      <c r="G257" s="20" t="n">
        <v>8</v>
      </c>
      <c r="H257" s="18" t="n">
        <v>20</v>
      </c>
      <c r="I257">
        <f t="array" ref="I257">IFERROR(INDEX($N$5:$N$271,MATCH(TRUE,EXACT(A257,$O$5:$O$271),)),"")</f>
        <v/>
      </c>
      <c r="J257" s="25">
        <f>IF(I257="","",IF(E257="","",G257))</f>
        <v/>
      </c>
      <c r="K257" s="26" t="n">
        <v>6</v>
      </c>
      <c r="N257" s="28" t="inlineStr">
        <is>
          <t>Kids</t>
        </is>
      </c>
      <c r="O257" s="29" t="inlineStr">
        <is>
          <t>NTH Kids New Potato</t>
        </is>
      </c>
    </row>
    <row r="258">
      <c r="A258" s="15" t="inlineStr">
        <is>
          <t>Baby Artichokes</t>
        </is>
      </c>
      <c r="B258" s="18" t="n">
        <v>144</v>
      </c>
      <c r="C258" s="73" t="n">
        <v>0.000923311894116644</v>
      </c>
      <c r="D258" s="73" t="n">
        <v>0.00127197468770371</v>
      </c>
      <c r="E258" s="73" t="n">
        <v>0.0615753014624134</v>
      </c>
      <c r="F258" s="18" t="n">
        <v>0</v>
      </c>
      <c r="G258" s="20" t="n">
        <v>12</v>
      </c>
      <c r="H258" s="18" t="n">
        <v>12</v>
      </c>
      <c r="I258">
        <f t="array" ref="I258">IFERROR(INDEX($N$5:$N$271,MATCH(TRUE,EXACT(A258,$O$5:$O$271),)),"")</f>
        <v/>
      </c>
      <c r="J258" s="25">
        <f>IF(I258="","",IF(E258="","",G258))</f>
        <v/>
      </c>
      <c r="K258" s="26" t="n">
        <v>7</v>
      </c>
      <c r="N258" s="28" t="inlineStr">
        <is>
          <t>Kids</t>
        </is>
      </c>
      <c r="O258" s="29" t="inlineStr">
        <is>
          <t>NTH Kids French Fries</t>
        </is>
      </c>
    </row>
    <row r="259">
      <c r="A259" s="15" t="inlineStr">
        <is>
          <t>Rock Oyster 12</t>
        </is>
      </c>
      <c r="B259" s="18" t="n">
        <v>48</v>
      </c>
      <c r="C259" s="73" t="n">
        <v>0.000307770631372215</v>
      </c>
      <c r="D259" s="73" t="n">
        <v>0.000423991562567905</v>
      </c>
      <c r="E259" s="73" t="n">
        <v>0.0205251004874711</v>
      </c>
      <c r="F259" s="18" t="n">
        <v>0</v>
      </c>
      <c r="G259" s="20" t="n">
        <v>1</v>
      </c>
      <c r="H259" s="18" t="n">
        <v>48</v>
      </c>
      <c r="I259">
        <f t="array" ref="I259">IFERROR(INDEX($N$5:$N$271,MATCH(TRUE,EXACT(A259,$O$5:$O$271),)),"")</f>
        <v/>
      </c>
      <c r="J259" s="25">
        <f>IF(I259="","",IF(E259="","",G259))</f>
        <v/>
      </c>
      <c r="K259" s="26" t="n">
        <v>8</v>
      </c>
      <c r="N259" s="28" t="inlineStr">
        <is>
          <t>Kids</t>
        </is>
      </c>
      <c r="O259" s="29" t="inlineStr">
        <is>
          <t>.</t>
        </is>
      </c>
    </row>
    <row r="260">
      <c r="A260" s="17" t="inlineStr">
        <is>
          <t>Poultry Dishes</t>
        </is>
      </c>
      <c r="B260" s="13" t="n">
        <v>1650</v>
      </c>
      <c r="C260" s="70" t="n">
        <v>0.0105796154534199</v>
      </c>
      <c r="D260" s="70" t="n">
        <v>0.0145747099632717</v>
      </c>
      <c r="E260" s="15" t="inlineStr"/>
      <c r="F260" s="13" t="n">
        <v>0</v>
      </c>
      <c r="G260" s="16" t="n">
        <v>55</v>
      </c>
      <c r="H260" s="13" t="n">
        <v>30</v>
      </c>
      <c r="I260">
        <f t="array" ref="I260">IFERROR(INDEX($N$5:$N$271,MATCH(TRUE,EXACT(A260,$O$5:$O$271),)),"")</f>
        <v/>
      </c>
      <c r="J260" s="25">
        <f>IF(I260="","",IF(E260="","",G260))</f>
        <v/>
      </c>
      <c r="K260" s="26" t="n"/>
      <c r="N260" s="28" t="inlineStr">
        <is>
          <t>Kids</t>
        </is>
      </c>
      <c r="O260" s="29" t="inlineStr">
        <is>
          <t>.</t>
        </is>
      </c>
    </row>
    <row r="261">
      <c r="A261" s="15" t="inlineStr">
        <is>
          <t>Chicken Thai Curry</t>
        </is>
      </c>
      <c r="B261" s="18" t="n">
        <v>1650</v>
      </c>
      <c r="C261" s="73" t="n">
        <v>0.0105796154534199</v>
      </c>
      <c r="D261" s="73" t="n">
        <v>0.0145747099632717</v>
      </c>
      <c r="E261" s="73" t="n">
        <v>1</v>
      </c>
      <c r="F261" s="18" t="n">
        <v>0</v>
      </c>
      <c r="G261" s="20" t="n">
        <v>55</v>
      </c>
      <c r="H261" s="18" t="n">
        <v>30</v>
      </c>
      <c r="I261">
        <f t="array" ref="I261">IFERROR(INDEX($N$5:$N$271,MATCH(TRUE,EXACT(A261,$O$5:$O$271),)),"")</f>
        <v/>
      </c>
      <c r="J261" s="25">
        <f>IF(I261="","",IF(E261="","",G261))</f>
        <v/>
      </c>
      <c r="K261" s="26" t="n">
        <v>3</v>
      </c>
      <c r="N261" s="28" t="inlineStr">
        <is>
          <t>Kids</t>
        </is>
      </c>
      <c r="O261" s="29" t="inlineStr">
        <is>
          <t>.</t>
        </is>
      </c>
    </row>
    <row r="262">
      <c r="A262" s="17" t="inlineStr">
        <is>
          <t>Food Condiments</t>
        </is>
      </c>
      <c r="B262" s="13" t="n">
        <v>1035.5</v>
      </c>
      <c r="C262" s="70" t="n">
        <v>0.00663951018304017</v>
      </c>
      <c r="D262" s="70" t="n">
        <v>0.009146734646647199</v>
      </c>
      <c r="E262" s="15" t="inlineStr"/>
      <c r="F262" s="13" t="n">
        <v>0</v>
      </c>
      <c r="G262" s="16" t="n">
        <v>7857</v>
      </c>
      <c r="H262" s="13" t="n">
        <v>0.131793305332824</v>
      </c>
      <c r="I262">
        <f t="array" ref="I262">IFERROR(INDEX($N$5:$N$271,MATCH(TRUE,EXACT(A262,$O$5:$O$271),)),"")</f>
        <v/>
      </c>
      <c r="J262" s="25">
        <f>IF(I262="","",IF(E262="","",G262))</f>
        <v/>
      </c>
      <c r="K262" s="26" t="n"/>
      <c r="N262" s="28" t="inlineStr">
        <is>
          <t>Kids</t>
        </is>
      </c>
      <c r="O262" s="29" t="inlineStr">
        <is>
          <t>.</t>
        </is>
      </c>
    </row>
    <row r="263">
      <c r="A263" s="15" t="inlineStr">
        <is>
          <t>with Chicken</t>
        </is>
      </c>
      <c r="B263" s="18" t="n">
        <v>440</v>
      </c>
      <c r="C263" s="73" t="n">
        <v>0.00282123078757863</v>
      </c>
      <c r="D263" s="73" t="n">
        <v>0.00388658932353913</v>
      </c>
      <c r="E263" s="73" t="n">
        <v>0.424915499758571</v>
      </c>
      <c r="F263" s="18" t="n">
        <v>0</v>
      </c>
      <c r="G263" s="20" t="n">
        <v>44</v>
      </c>
      <c r="H263" s="18" t="n">
        <v>10</v>
      </c>
      <c r="I263">
        <f t="array" ref="I263">IFERROR(INDEX($N$5:$N$271,MATCH(TRUE,EXACT(A263,$O$5:$O$271),)),"")</f>
        <v/>
      </c>
      <c r="J263" s="25">
        <f>IF(I263="","",IF(E263="","",G263))</f>
        <v/>
      </c>
      <c r="K263" s="26" t="n"/>
      <c r="N263" s="28" t="inlineStr">
        <is>
          <t>Kids</t>
        </is>
      </c>
      <c r="O263" s="29" t="inlineStr">
        <is>
          <t>.</t>
        </is>
      </c>
    </row>
    <row r="264">
      <c r="A264" s="15" t="inlineStr">
        <is>
          <t>with Prawn</t>
        </is>
      </c>
      <c r="B264" s="18" t="n">
        <v>80</v>
      </c>
      <c r="C264" s="73" t="n">
        <v>0.000512951052287024</v>
      </c>
      <c r="D264" s="73" t="n">
        <v>0.000706652604279841</v>
      </c>
      <c r="E264" s="73" t="n">
        <v>0.0772573635924674</v>
      </c>
      <c r="F264" s="18" t="n">
        <v>0</v>
      </c>
      <c r="G264" s="20" t="n">
        <v>8</v>
      </c>
      <c r="H264" s="18" t="n">
        <v>10</v>
      </c>
      <c r="I264">
        <f t="array" ref="I264">IFERROR(INDEX($N$5:$N$271,MATCH(TRUE,EXACT(A264,$O$5:$O$271),)),"")</f>
        <v/>
      </c>
      <c r="J264" s="25">
        <f>IF(I264="","",IF(E264="","",G264))</f>
        <v/>
      </c>
      <c r="K264" s="26" t="n"/>
      <c r="N264" s="28" t="inlineStr">
        <is>
          <t>Kids</t>
        </is>
      </c>
      <c r="O264" s="29" t="inlineStr">
        <is>
          <t>.</t>
        </is>
      </c>
    </row>
    <row r="265">
      <c r="A265" s="15" t="inlineStr">
        <is>
          <t>with Salmon</t>
        </is>
      </c>
      <c r="B265" s="18" t="n">
        <v>70</v>
      </c>
      <c r="C265" s="73" t="n">
        <v>0.000448832170751146</v>
      </c>
      <c r="D265" s="73" t="n">
        <v>0.000618321028744861</v>
      </c>
      <c r="E265" s="73" t="n">
        <v>0.067600193143409</v>
      </c>
      <c r="F265" s="18" t="n">
        <v>0</v>
      </c>
      <c r="G265" s="20" t="n">
        <v>7</v>
      </c>
      <c r="H265" s="18" t="n">
        <v>10</v>
      </c>
      <c r="I265">
        <f t="array" ref="I265">IFERROR(INDEX($N$5:$N$271,MATCH(TRUE,EXACT(A265,$O$5:$O$271),)),"")</f>
        <v/>
      </c>
      <c r="J265" s="25">
        <f>IF(I265="","",IF(E265="","",G265))</f>
        <v/>
      </c>
      <c r="K265" s="26" t="n"/>
      <c r="N265" s="28" t="inlineStr">
        <is>
          <t>Kids</t>
        </is>
      </c>
      <c r="O265" s="29" t="inlineStr">
        <is>
          <t>.</t>
        </is>
      </c>
    </row>
    <row r="266">
      <c r="A266" s="15" t="inlineStr">
        <is>
          <t>Cooked Ham</t>
        </is>
      </c>
      <c r="B266" s="18" t="n">
        <v>63</v>
      </c>
      <c r="C266" s="73" t="n">
        <v>0.000403948953676032</v>
      </c>
      <c r="D266" s="73" t="n">
        <v>0.000556488925870375</v>
      </c>
      <c r="E266" s="73" t="n">
        <v>0.0608401738290681</v>
      </c>
      <c r="F266" s="18" t="n">
        <v>0</v>
      </c>
      <c r="G266" s="20" t="n">
        <v>18</v>
      </c>
      <c r="H266" s="18" t="n">
        <v>3.5</v>
      </c>
      <c r="I266">
        <f t="array" ref="I266">IFERROR(INDEX($N$5:$N$271,MATCH(TRUE,EXACT(A266,$O$5:$O$271),)),"")</f>
        <v/>
      </c>
      <c r="J266" s="25">
        <f>IF(I266="","",IF(E266="","",G266))</f>
        <v/>
      </c>
      <c r="K266" s="26" t="n"/>
      <c r="N266" s="28" t="inlineStr">
        <is>
          <t>Kids</t>
        </is>
      </c>
      <c r="O266" s="29" t="inlineStr">
        <is>
          <t>.</t>
        </is>
      </c>
    </row>
    <row r="267">
      <c r="A267" s="15" t="inlineStr">
        <is>
          <t>Mushrooms</t>
        </is>
      </c>
      <c r="B267" s="18" t="n">
        <v>52.5</v>
      </c>
      <c r="C267" s="73" t="n">
        <v>0.00033662412806336</v>
      </c>
      <c r="D267" s="73" t="n">
        <v>0.000463740771558646</v>
      </c>
      <c r="E267" s="73" t="n">
        <v>0.0507001448575567</v>
      </c>
      <c r="F267" s="18" t="n">
        <v>0</v>
      </c>
      <c r="G267" s="20" t="n">
        <v>15</v>
      </c>
      <c r="H267" s="18" t="n">
        <v>3.5</v>
      </c>
      <c r="I267">
        <f t="array" ref="I267">IFERROR(INDEX($N$5:$N$271,MATCH(TRUE,EXACT(A267,$O$5:$O$271),)),"")</f>
        <v/>
      </c>
      <c r="J267" s="25">
        <f>IF(I267="","",IF(E267="","",G267))</f>
        <v/>
      </c>
      <c r="K267" s="26" t="n"/>
      <c r="N267" s="28" t="inlineStr">
        <is>
          <t>Kids</t>
        </is>
      </c>
      <c r="O267" s="29" t="inlineStr">
        <is>
          <t>.</t>
        </is>
      </c>
    </row>
    <row r="268">
      <c r="A268" s="15" t="inlineStr">
        <is>
          <t>Halloumi</t>
        </is>
      </c>
      <c r="B268" s="18" t="n">
        <v>50</v>
      </c>
      <c r="C268" s="73" t="n">
        <v>0.00032059440767939</v>
      </c>
      <c r="D268" s="73" t="n">
        <v>0.000441657877674901</v>
      </c>
      <c r="E268" s="73" t="n">
        <v>0.0482858522452921</v>
      </c>
      <c r="F268" s="18" t="n">
        <v>0</v>
      </c>
      <c r="G268" s="20" t="n">
        <v>5</v>
      </c>
      <c r="H268" s="18" t="n">
        <v>10</v>
      </c>
      <c r="I268">
        <f t="array" ref="I268">IFERROR(INDEX($N$5:$N$271,MATCH(TRUE,EXACT(A268,$O$5:$O$271),)),"")</f>
        <v/>
      </c>
      <c r="J268" s="25">
        <f>IF(I268="","",IF(E268="","",G268))</f>
        <v/>
      </c>
      <c r="K268" s="26" t="n"/>
      <c r="N268" s="28" t="inlineStr">
        <is>
          <t>Kids</t>
        </is>
      </c>
      <c r="O268" s="29" t="inlineStr">
        <is>
          <t>.</t>
        </is>
      </c>
    </row>
    <row r="269">
      <c r="A269" s="15" t="inlineStr">
        <is>
          <t>Chicken</t>
        </is>
      </c>
      <c r="B269" s="18" t="n">
        <v>35</v>
      </c>
      <c r="C269" s="73" t="n">
        <v>0.000224416085375573</v>
      </c>
      <c r="D269" s="73" t="n">
        <v>0.000309160514372431</v>
      </c>
      <c r="E269" s="73" t="n">
        <v>0.0338000965717045</v>
      </c>
      <c r="F269" s="18" t="n">
        <v>0</v>
      </c>
      <c r="G269" s="20" t="n">
        <v>10</v>
      </c>
      <c r="H269" s="18" t="n">
        <v>3.5</v>
      </c>
      <c r="I269">
        <f t="array" ref="I269">IFERROR(INDEX($N$5:$N$271,MATCH(TRUE,EXACT(A269,$O$5:$O$271),)),"")</f>
        <v/>
      </c>
      <c r="J269" s="25">
        <f>IF(I269="","",IF(E269="","",G269))</f>
        <v/>
      </c>
      <c r="K269" s="26" t="n"/>
      <c r="N269" s="28" t="inlineStr">
        <is>
          <t>Kids</t>
        </is>
      </c>
      <c r="O269" s="29" t="inlineStr">
        <is>
          <t>.</t>
        </is>
      </c>
    </row>
    <row r="270">
      <c r="A270" s="15" t="inlineStr">
        <is>
          <t>Ham</t>
        </is>
      </c>
      <c r="B270" s="18" t="n">
        <v>35</v>
      </c>
      <c r="C270" s="73" t="n">
        <v>0.000224416085375573</v>
      </c>
      <c r="D270" s="73" t="n">
        <v>0.000309160514372431</v>
      </c>
      <c r="E270" s="73" t="n">
        <v>0.0338000965717045</v>
      </c>
      <c r="F270" s="18" t="n">
        <v>0</v>
      </c>
      <c r="G270" s="20" t="n">
        <v>10</v>
      </c>
      <c r="H270" s="18" t="n">
        <v>3.5</v>
      </c>
      <c r="I270">
        <f t="array" ref="I270">IFERROR(INDEX($N$5:$N$271,MATCH(TRUE,EXACT(A270,$O$5:$O$271),)),"")</f>
        <v/>
      </c>
      <c r="J270" s="25">
        <f>IF(I270="","",IF(E270="","",G270))</f>
        <v/>
      </c>
      <c r="K270" s="26" t="n"/>
      <c r="N270" s="28" t="inlineStr">
        <is>
          <t>Kids</t>
        </is>
      </c>
      <c r="O270" s="29" t="inlineStr">
        <is>
          <t>.</t>
        </is>
      </c>
    </row>
    <row r="271" ht="14.75" customHeight="1">
      <c r="A271" s="15" t="inlineStr">
        <is>
          <t>Black Olives</t>
        </is>
      </c>
      <c r="B271" s="18" t="n">
        <v>31.5</v>
      </c>
      <c r="C271" s="73" t="n">
        <v>0.000201974476838016</v>
      </c>
      <c r="D271" s="73" t="n">
        <v>0.000278244462935188</v>
      </c>
      <c r="E271" s="73" t="n">
        <v>0.030420086914534</v>
      </c>
      <c r="F271" s="18" t="n">
        <v>0</v>
      </c>
      <c r="G271" s="20" t="n">
        <v>9</v>
      </c>
      <c r="H271" s="18" t="n">
        <v>3.5</v>
      </c>
      <c r="I271">
        <f t="array" ref="I271">IFERROR(INDEX($N$5:$N$271,MATCH(TRUE,EXACT(A271,$O$5:$O$271),)),"")</f>
        <v/>
      </c>
      <c r="J271" s="25">
        <f>IF(I271="","",IF(E271="","",G271))</f>
        <v/>
      </c>
      <c r="K271" s="26" t="n"/>
      <c r="N271" s="67" t="inlineStr">
        <is>
          <t>Kids</t>
        </is>
      </c>
      <c r="O271" s="68" t="inlineStr">
        <is>
          <t>.</t>
        </is>
      </c>
    </row>
    <row r="272">
      <c r="A272" s="15" t="inlineStr">
        <is>
          <t>Mushrooms</t>
        </is>
      </c>
      <c r="B272" s="18" t="n">
        <v>31.5</v>
      </c>
      <c r="C272" s="73" t="n">
        <v>0.000201974476838016</v>
      </c>
      <c r="D272" s="73" t="n">
        <v>0.000278244462935188</v>
      </c>
      <c r="E272" s="73" t="n">
        <v>0.030420086914534</v>
      </c>
      <c r="F272" s="18" t="n">
        <v>0</v>
      </c>
      <c r="G272" s="20" t="n">
        <v>9</v>
      </c>
      <c r="H272" s="18" t="n">
        <v>3.5</v>
      </c>
      <c r="I272">
        <f t="array" ref="I272">IFERROR(INDEX($N$5:$N$271,MATCH(TRUE,EXACT(A272,$O$5:$O$271),)),"")</f>
        <v/>
      </c>
      <c r="J272" s="25">
        <f>IF(I272="","",IF(E272="","",G272))</f>
        <v/>
      </c>
      <c r="K272" s="26" t="n"/>
    </row>
    <row r="273">
      <c r="A273" s="15" t="inlineStr">
        <is>
          <t>Pepperoni</t>
        </is>
      </c>
      <c r="B273" s="18" t="n">
        <v>31.5</v>
      </c>
      <c r="C273" s="73" t="n">
        <v>0.000201974476838016</v>
      </c>
      <c r="D273" s="73" t="n">
        <v>0.000278244462935188</v>
      </c>
      <c r="E273" s="73" t="n">
        <v>0.030420086914534</v>
      </c>
      <c r="F273" s="18" t="n">
        <v>0</v>
      </c>
      <c r="G273" s="20" t="n">
        <v>9</v>
      </c>
      <c r="H273" s="18" t="n">
        <v>3.5</v>
      </c>
      <c r="I273">
        <f t="array" ref="I273">IFERROR(INDEX($N$5:$N$271,MATCH(TRUE,EXACT(A273,$O$5:$O$271),)),"")</f>
        <v/>
      </c>
      <c r="J273" s="25">
        <f>IF(I273="","",IF(E273="","",G273))</f>
        <v/>
      </c>
      <c r="K273" s="26" t="n"/>
    </row>
    <row r="274">
      <c r="A274" s="15" t="inlineStr">
        <is>
          <t>Grilled Chicken</t>
        </is>
      </c>
      <c r="B274" s="18" t="n">
        <v>21</v>
      </c>
      <c r="C274" s="73" t="n">
        <v>0.000134649651225344</v>
      </c>
      <c r="D274" s="73" t="n">
        <v>0.000185496308623458</v>
      </c>
      <c r="E274" s="73" t="n">
        <v>0.0202800579430227</v>
      </c>
      <c r="F274" s="18" t="n">
        <v>0</v>
      </c>
      <c r="G274" s="20" t="n">
        <v>6</v>
      </c>
      <c r="H274" s="18" t="n">
        <v>3.5</v>
      </c>
      <c r="I274">
        <f t="array" ref="I274">IFERROR(INDEX($N$5:$N$271,MATCH(TRUE,EXACT(A274,$O$5:$O$271),)),"")</f>
        <v/>
      </c>
      <c r="J274" s="25">
        <f>IF(I274="","",IF(E274="","",G274))</f>
        <v/>
      </c>
      <c r="K274" s="26" t="n"/>
    </row>
    <row r="275">
      <c r="A275" s="15" t="inlineStr">
        <is>
          <t>Olives</t>
        </is>
      </c>
      <c r="B275" s="18" t="n">
        <v>17.5</v>
      </c>
      <c r="C275" s="73" t="n">
        <v>0.000112208042687787</v>
      </c>
      <c r="D275" s="73" t="n">
        <v>0.000154580257186215</v>
      </c>
      <c r="E275" s="73" t="n">
        <v>0.0169000482858522</v>
      </c>
      <c r="F275" s="18" t="n">
        <v>0</v>
      </c>
      <c r="G275" s="20" t="n">
        <v>5</v>
      </c>
      <c r="H275" s="18" t="n">
        <v>3.5</v>
      </c>
      <c r="I275">
        <f t="array" ref="I275">IFERROR(INDEX($N$5:$N$271,MATCH(TRUE,EXACT(A275,$O$5:$O$271),)),"")</f>
        <v/>
      </c>
      <c r="J275" s="25">
        <f>IF(I275="","",IF(E275="","",G275))</f>
        <v/>
      </c>
      <c r="K275" s="26" t="n"/>
    </row>
    <row r="276">
      <c r="A276" s="15" t="inlineStr">
        <is>
          <t>Pepperoni</t>
        </is>
      </c>
      <c r="B276" s="18" t="n">
        <v>17.5</v>
      </c>
      <c r="C276" s="73" t="n">
        <v>0.000112208042687787</v>
      </c>
      <c r="D276" s="73" t="n">
        <v>0.000154580257186215</v>
      </c>
      <c r="E276" s="73" t="n">
        <v>0.0169000482858522</v>
      </c>
      <c r="F276" s="18" t="n">
        <v>0</v>
      </c>
      <c r="G276" s="20" t="n">
        <v>5</v>
      </c>
      <c r="H276" s="18" t="n">
        <v>3.5</v>
      </c>
      <c r="I276">
        <f t="array" ref="I276">IFERROR(INDEX($N$5:$N$271,MATCH(TRUE,EXACT(A276,$O$5:$O$271),)),"")</f>
        <v/>
      </c>
      <c r="J276" s="25">
        <f>IF(I276="","",IF(E276="","",G276))</f>
        <v/>
      </c>
      <c r="K276" s="26" t="n"/>
    </row>
    <row r="277">
      <c r="A277" s="15" t="inlineStr">
        <is>
          <t>Peppers</t>
        </is>
      </c>
      <c r="B277" s="18" t="n">
        <v>17.5</v>
      </c>
      <c r="C277" s="73" t="n">
        <v>0.000112208042687787</v>
      </c>
      <c r="D277" s="73" t="n">
        <v>0.000154580257186215</v>
      </c>
      <c r="E277" s="73" t="n">
        <v>0.0169000482858522</v>
      </c>
      <c r="F277" s="18" t="n">
        <v>0</v>
      </c>
      <c r="G277" s="20" t="n">
        <v>5</v>
      </c>
      <c r="H277" s="18" t="n">
        <v>3.5</v>
      </c>
      <c r="I277">
        <f t="array" ref="I277">IFERROR(INDEX($N$5:$N$271,MATCH(TRUE,EXACT(A277,$O$5:$O$271),)),"")</f>
        <v/>
      </c>
      <c r="J277" s="25">
        <f>IF(I277="","",IF(E277="","",G277))</f>
        <v/>
      </c>
      <c r="K277" s="26" t="n"/>
    </row>
    <row r="278">
      <c r="A278" s="15" t="inlineStr">
        <is>
          <t>Nduja</t>
        </is>
      </c>
      <c r="B278" s="18" t="n">
        <v>10.5</v>
      </c>
      <c r="C278" s="73" t="n">
        <v>6.732482561267191e-05</v>
      </c>
      <c r="D278" s="73" t="n">
        <v>9.274815431172919e-05</v>
      </c>
      <c r="E278" s="73" t="n">
        <v>0.0101400289715113</v>
      </c>
      <c r="F278" s="18" t="n">
        <v>0</v>
      </c>
      <c r="G278" s="20" t="n">
        <v>3</v>
      </c>
      <c r="H278" s="18" t="n">
        <v>3.5</v>
      </c>
      <c r="I278">
        <f t="array" ref="I278">IFERROR(INDEX($N$5:$N$271,MATCH(TRUE,EXACT(A278,$O$5:$O$271),)),"")</f>
        <v/>
      </c>
      <c r="J278" s="25">
        <f>IF(I278="","",IF(E278="","",G278))</f>
        <v/>
      </c>
      <c r="K278" s="26" t="n"/>
    </row>
    <row r="279">
      <c r="A279" s="15" t="inlineStr">
        <is>
          <t>Peppers</t>
        </is>
      </c>
      <c r="B279" s="18" t="n">
        <v>10.5</v>
      </c>
      <c r="C279" s="73" t="n">
        <v>6.732482561267191e-05</v>
      </c>
      <c r="D279" s="73" t="n">
        <v>9.274815431172919e-05</v>
      </c>
      <c r="E279" s="73" t="n">
        <v>0.0101400289715113</v>
      </c>
      <c r="F279" s="18" t="n">
        <v>0</v>
      </c>
      <c r="G279" s="20" t="n">
        <v>3</v>
      </c>
      <c r="H279" s="18" t="n">
        <v>3.5</v>
      </c>
      <c r="I279">
        <f t="array" ref="I279">IFERROR(INDEX($N$5:$N$271,MATCH(TRUE,EXACT(A279,$O$5:$O$271),)),"")</f>
        <v/>
      </c>
      <c r="J279" s="25">
        <f>IF(I279="","",IF(E279="","",G279))</f>
        <v/>
      </c>
      <c r="K279" s="26" t="n"/>
    </row>
    <row r="280">
      <c r="A280" s="15" t="inlineStr">
        <is>
          <t>Pineapple</t>
        </is>
      </c>
      <c r="B280" s="18" t="n">
        <v>10.5</v>
      </c>
      <c r="C280" s="73" t="n">
        <v>6.732482561267191e-05</v>
      </c>
      <c r="D280" s="73" t="n">
        <v>9.274815431172919e-05</v>
      </c>
      <c r="E280" s="73" t="n">
        <v>0.0101400289715113</v>
      </c>
      <c r="F280" s="18" t="n">
        <v>0</v>
      </c>
      <c r="G280" s="20" t="n">
        <v>3</v>
      </c>
      <c r="H280" s="18" t="n">
        <v>3.5</v>
      </c>
      <c r="I280">
        <f t="array" ref="I280">IFERROR(INDEX($N$5:$N$271,MATCH(TRUE,EXACT(A280,$O$5:$O$271),)),"")</f>
        <v/>
      </c>
      <c r="J280" s="25">
        <f>IF(I280="","",IF(E280="","",G280))</f>
        <v/>
      </c>
      <c r="K280" s="26" t="n"/>
    </row>
    <row r="281">
      <c r="A281" s="15" t="inlineStr">
        <is>
          <t>Anchovies</t>
        </is>
      </c>
      <c r="B281" s="18" t="n">
        <v>7</v>
      </c>
      <c r="C281" s="73" t="n">
        <v>4.48832170751146e-05</v>
      </c>
      <c r="D281" s="73" t="n">
        <v>6.18321028744861e-05</v>
      </c>
      <c r="E281" s="73" t="n">
        <v>0.0067600193143409</v>
      </c>
      <c r="F281" s="18" t="n">
        <v>0</v>
      </c>
      <c r="G281" s="20" t="n">
        <v>2</v>
      </c>
      <c r="H281" s="18" t="n">
        <v>3.5</v>
      </c>
      <c r="I281">
        <f t="array" ref="I281">IFERROR(INDEX($N$5:$N$271,MATCH(TRUE,EXACT(A281,$O$5:$O$271),)),"")</f>
        <v/>
      </c>
      <c r="J281" s="25">
        <f>IF(I281="","",IF(E281="","",G281))</f>
        <v/>
      </c>
      <c r="K281" s="26" t="n"/>
    </row>
    <row r="282">
      <c r="A282" s="15" t="inlineStr">
        <is>
          <t>Anchovies</t>
        </is>
      </c>
      <c r="B282" s="18" t="n">
        <v>3.5</v>
      </c>
      <c r="C282" s="73" t="n">
        <v>2.24416085375573e-05</v>
      </c>
      <c r="D282" s="73" t="n">
        <v>3.09160514372431e-05</v>
      </c>
      <c r="E282" s="73" t="n">
        <v>0.00338000965717045</v>
      </c>
      <c r="F282" s="18" t="n">
        <v>0</v>
      </c>
      <c r="G282" s="20" t="n">
        <v>1</v>
      </c>
      <c r="H282" s="18" t="n">
        <v>3.5</v>
      </c>
      <c r="I282">
        <f t="array" ref="I282">IFERROR(INDEX($N$5:$N$271,MATCH(TRUE,EXACT(A282,$O$5:$O$271),)),"")</f>
        <v/>
      </c>
      <c r="J282" s="25">
        <f>IF(I282="","",IF(E282="","",G282))</f>
        <v/>
      </c>
      <c r="K282" s="26" t="n"/>
    </row>
    <row r="283">
      <c r="A283" s="15" t="inlineStr">
        <is>
          <t>------------</t>
        </is>
      </c>
      <c r="B283" s="18" t="n">
        <v>0</v>
      </c>
      <c r="C283" s="73" t="n">
        <v>0</v>
      </c>
      <c r="D283" s="73" t="n">
        <v>0</v>
      </c>
      <c r="E283" s="73" t="n">
        <v>0</v>
      </c>
      <c r="F283" s="18" t="n">
        <v>0</v>
      </c>
      <c r="G283" s="20" t="n">
        <v>3</v>
      </c>
      <c r="H283" s="18" t="n">
        <v>0</v>
      </c>
      <c r="I283">
        <f t="array" ref="I283">IFERROR(INDEX($N$5:$N$271,MATCH(TRUE,EXACT(A283,$O$5:$O$271),)),"")</f>
        <v/>
      </c>
      <c r="J283" s="25">
        <f>IF(I283="","",IF(E283="","",G283))</f>
        <v/>
      </c>
      <c r="K283" s="26" t="n"/>
    </row>
    <row r="284">
      <c r="A284" s="15" t="inlineStr">
        <is>
          <t>ADD</t>
        </is>
      </c>
      <c r="B284" s="18" t="n">
        <v>0</v>
      </c>
      <c r="C284" s="73" t="n">
        <v>0</v>
      </c>
      <c r="D284" s="73" t="n">
        <v>0</v>
      </c>
      <c r="E284" s="73" t="n">
        <v>0</v>
      </c>
      <c r="F284" s="18" t="n">
        <v>0</v>
      </c>
      <c r="G284" s="20" t="n">
        <v>5</v>
      </c>
      <c r="H284" s="18" t="n">
        <v>0</v>
      </c>
      <c r="I284">
        <f t="array" ref="I284">IFERROR(INDEX($N$5:$N$271,MATCH(TRUE,EXACT(A284,$O$5:$O$271),)),"")</f>
        <v/>
      </c>
      <c r="J284" s="25">
        <f>IF(I284="","",IF(E284="","",G284))</f>
        <v/>
      </c>
      <c r="K284" s="26" t="n"/>
    </row>
    <row r="285">
      <c r="A285" s="15" t="inlineStr">
        <is>
          <t>All</t>
        </is>
      </c>
      <c r="B285" s="18" t="n">
        <v>0</v>
      </c>
      <c r="C285" s="73" t="n">
        <v>0</v>
      </c>
      <c r="D285" s="73" t="n">
        <v>0</v>
      </c>
      <c r="E285" s="73" t="n">
        <v>0</v>
      </c>
      <c r="F285" s="18" t="n">
        <v>0</v>
      </c>
      <c r="G285" s="20" t="n">
        <v>50</v>
      </c>
      <c r="H285" s="18" t="n">
        <v>0</v>
      </c>
      <c r="I285">
        <f t="array" ref="I285">IFERROR(INDEX($N$5:$N$271,MATCH(TRUE,EXACT(A285,$O$5:$O$271),)),"")</f>
        <v/>
      </c>
      <c r="J285" s="25">
        <f>IF(I285="","",IF(E285="","",G285))</f>
        <v/>
      </c>
      <c r="K285" s="26" t="n"/>
    </row>
    <row r="286">
      <c r="A286" s="15" t="inlineStr">
        <is>
          <t>All</t>
        </is>
      </c>
      <c r="B286" s="18" t="n">
        <v>0</v>
      </c>
      <c r="C286" s="73" t="n">
        <v>0</v>
      </c>
      <c r="D286" s="73" t="n">
        <v>0</v>
      </c>
      <c r="E286" s="73" t="n">
        <v>0</v>
      </c>
      <c r="F286" s="18" t="n">
        <v>0</v>
      </c>
      <c r="G286" s="20" t="n">
        <v>4</v>
      </c>
      <c r="H286" s="18" t="n">
        <v>0</v>
      </c>
      <c r="I286">
        <f t="array" ref="I286">IFERROR(INDEX($N$5:$N$271,MATCH(TRUE,EXACT(A286,$O$5:$O$271),)),"")</f>
        <v/>
      </c>
      <c r="J286" s="25">
        <f>IF(I286="","",IF(E286="","",G286))</f>
        <v/>
      </c>
      <c r="K286" s="26" t="n"/>
    </row>
    <row r="287">
      <c r="A287" s="15" t="inlineStr">
        <is>
          <t>All Bran</t>
        </is>
      </c>
      <c r="B287" s="18" t="n">
        <v>0</v>
      </c>
      <c r="C287" s="73" t="n">
        <v>0</v>
      </c>
      <c r="D287" s="73" t="n">
        <v>0</v>
      </c>
      <c r="E287" s="73" t="n">
        <v>0</v>
      </c>
      <c r="F287" s="18" t="n">
        <v>0</v>
      </c>
      <c r="G287" s="20" t="n">
        <v>4</v>
      </c>
      <c r="H287" s="18" t="n">
        <v>0</v>
      </c>
      <c r="I287">
        <f t="array" ref="I287">IFERROR(INDEX($N$5:$N$271,MATCH(TRUE,EXACT(A287,$O$5:$O$271),)),"")</f>
        <v/>
      </c>
      <c r="J287" s="25">
        <f>IF(I287="","",IF(E287="","",G287))</f>
        <v/>
      </c>
      <c r="K287" s="26" t="n"/>
    </row>
    <row r="288">
      <c r="A288" s="15" t="inlineStr">
        <is>
          <t>ALLERGEN -</t>
        </is>
      </c>
      <c r="B288" s="18" t="n">
        <v>0</v>
      </c>
      <c r="C288" s="73" t="n">
        <v>0</v>
      </c>
      <c r="D288" s="73" t="n">
        <v>0</v>
      </c>
      <c r="E288" s="73" t="n">
        <v>0</v>
      </c>
      <c r="F288" s="18" t="n">
        <v>0</v>
      </c>
      <c r="G288" s="20" t="n">
        <v>2</v>
      </c>
      <c r="H288" s="18" t="n">
        <v>0</v>
      </c>
      <c r="I288">
        <f t="array" ref="I288">IFERROR(INDEX($N$5:$N$271,MATCH(TRUE,EXACT(A288,$O$5:$O$271),)),"")</f>
        <v/>
      </c>
      <c r="J288" s="25">
        <f>IF(I288="","",IF(E288="","",G288))</f>
        <v/>
      </c>
      <c r="K288" s="26" t="n"/>
    </row>
    <row r="289">
      <c r="A289" s="15" t="inlineStr">
        <is>
          <t>ALLERGEN - Dairy</t>
        </is>
      </c>
      <c r="B289" s="18" t="n">
        <v>0</v>
      </c>
      <c r="C289" s="73" t="n">
        <v>0</v>
      </c>
      <c r="D289" s="73" t="n">
        <v>0</v>
      </c>
      <c r="E289" s="73" t="n">
        <v>0</v>
      </c>
      <c r="F289" s="18" t="n">
        <v>0</v>
      </c>
      <c r="G289" s="20" t="n">
        <v>1</v>
      </c>
      <c r="H289" s="18" t="n">
        <v>0</v>
      </c>
      <c r="I289">
        <f t="array" ref="I289">IFERROR(INDEX($N$5:$N$271,MATCH(TRUE,EXACT(A289,$O$5:$O$271),)),"")</f>
        <v/>
      </c>
      <c r="J289" s="25">
        <f>IF(I289="","",IF(E289="","",G289))</f>
        <v/>
      </c>
      <c r="K289" s="26" t="n"/>
    </row>
    <row r="290">
      <c r="A290" s="15" t="inlineStr">
        <is>
          <t>ALLERGEN - Gluten</t>
        </is>
      </c>
      <c r="B290" s="18" t="n">
        <v>0</v>
      </c>
      <c r="C290" s="73" t="n">
        <v>0</v>
      </c>
      <c r="D290" s="73" t="n">
        <v>0</v>
      </c>
      <c r="E290" s="73" t="n">
        <v>0</v>
      </c>
      <c r="F290" s="18" t="n">
        <v>0</v>
      </c>
      <c r="G290" s="20" t="n">
        <v>5</v>
      </c>
      <c r="H290" s="18" t="n">
        <v>0</v>
      </c>
      <c r="I290">
        <f t="array" ref="I290">IFERROR(INDEX($N$5:$N$271,MATCH(TRUE,EXACT(A290,$O$5:$O$271),)),"")</f>
        <v/>
      </c>
      <c r="J290" s="25">
        <f>IF(I290="","",IF(E290="","",G290))</f>
        <v/>
      </c>
      <c r="K290" s="26" t="n"/>
    </row>
    <row r="291">
      <c r="A291" s="15" t="inlineStr">
        <is>
          <t>ALLERGEN - Peanuts</t>
        </is>
      </c>
      <c r="B291" s="18" t="n">
        <v>0</v>
      </c>
      <c r="C291" s="73" t="n">
        <v>0</v>
      </c>
      <c r="D291" s="73" t="n">
        <v>0</v>
      </c>
      <c r="E291" s="73" t="n">
        <v>0</v>
      </c>
      <c r="F291" s="18" t="n">
        <v>0</v>
      </c>
      <c r="G291" s="20" t="n">
        <v>0</v>
      </c>
      <c r="H291" s="18" t="n">
        <v>0</v>
      </c>
      <c r="I291">
        <f t="array" ref="I291">IFERROR(INDEX($N$5:$N$271,MATCH(TRUE,EXACT(A291,$O$5:$O$271),)),"")</f>
        <v/>
      </c>
      <c r="J291" s="25">
        <f>IF(I291="","",IF(E291="","",G291))</f>
        <v/>
      </c>
      <c r="K291" s="26" t="n"/>
    </row>
    <row r="292">
      <c r="A292" s="15" t="inlineStr">
        <is>
          <t>ALLERGEN - Sesame</t>
        </is>
      </c>
      <c r="B292" s="18" t="n">
        <v>0</v>
      </c>
      <c r="C292" s="73" t="n">
        <v>0</v>
      </c>
      <c r="D292" s="73" t="n">
        <v>0</v>
      </c>
      <c r="E292" s="73" t="n">
        <v>0</v>
      </c>
      <c r="F292" s="18" t="n">
        <v>0</v>
      </c>
      <c r="G292" s="20" t="n">
        <v>0</v>
      </c>
      <c r="H292" s="18" t="n">
        <v>0</v>
      </c>
      <c r="I292">
        <f t="array" ref="I292">IFERROR(INDEX($N$5:$N$271,MATCH(TRUE,EXACT(A292,$O$5:$O$271),)),"")</f>
        <v/>
      </c>
      <c r="J292" s="25">
        <f>IF(I292="","",IF(E292="","",G292))</f>
        <v/>
      </c>
      <c r="K292" s="26" t="n"/>
    </row>
    <row r="293">
      <c r="A293" s="15" t="inlineStr">
        <is>
          <t>ALLERGEN - Treenuts</t>
        </is>
      </c>
      <c r="B293" s="18" t="n">
        <v>0</v>
      </c>
      <c r="C293" s="73" t="n">
        <v>0</v>
      </c>
      <c r="D293" s="73" t="n">
        <v>0</v>
      </c>
      <c r="E293" s="73" t="n">
        <v>0</v>
      </c>
      <c r="F293" s="18" t="n">
        <v>0</v>
      </c>
      <c r="G293" s="20" t="n">
        <v>0</v>
      </c>
      <c r="H293" s="18" t="n">
        <v>0</v>
      </c>
      <c r="I293">
        <f t="array" ref="I293">IFERROR(INDEX($N$5:$N$271,MATCH(TRUE,EXACT(A293,$O$5:$O$271),)),"")</f>
        <v/>
      </c>
      <c r="J293" s="25">
        <f>IF(I293="","",IF(E293="","",G293))</f>
        <v/>
      </c>
      <c r="K293" s="26" t="n"/>
    </row>
    <row r="294">
      <c r="A294" s="15" t="inlineStr">
        <is>
          <t>All Hot Items</t>
        </is>
      </c>
      <c r="B294" s="18" t="n">
        <v>0</v>
      </c>
      <c r="C294" s="73" t="n">
        <v>0</v>
      </c>
      <c r="D294" s="73" t="n">
        <v>0</v>
      </c>
      <c r="E294" s="73" t="n">
        <v>0</v>
      </c>
      <c r="F294" s="18" t="n">
        <v>0</v>
      </c>
      <c r="G294" s="20" t="n">
        <v>179</v>
      </c>
      <c r="H294" s="18" t="n">
        <v>0</v>
      </c>
      <c r="I294">
        <f t="array" ref="I294">IFERROR(INDEX($N$5:$N$271,MATCH(TRUE,EXACT(A294,$O$5:$O$271),)),"")</f>
        <v/>
      </c>
      <c r="J294" s="25">
        <f>IF(I294="","",IF(E294="","",G294))</f>
        <v/>
      </c>
      <c r="K294" s="26" t="n"/>
    </row>
    <row r="295">
      <c r="A295" s="15" t="inlineStr">
        <is>
          <t>Almond Milk</t>
        </is>
      </c>
      <c r="B295" s="18" t="n">
        <v>0</v>
      </c>
      <c r="C295" s="73" t="n">
        <v>0</v>
      </c>
      <c r="D295" s="73" t="n">
        <v>0</v>
      </c>
      <c r="E295" s="73" t="n">
        <v>0</v>
      </c>
      <c r="F295" s="18" t="n">
        <v>0</v>
      </c>
      <c r="G295" s="20" t="n">
        <v>3</v>
      </c>
      <c r="H295" s="18" t="n">
        <v>0</v>
      </c>
      <c r="I295">
        <f t="array" ref="I295">IFERROR(INDEX($N$5:$N$271,MATCH(TRUE,EXACT(A295,$O$5:$O$271),)),"")</f>
        <v/>
      </c>
      <c r="J295" s="25">
        <f>IF(I295="","",IF(E295="","",G295))</f>
        <v/>
      </c>
      <c r="K295" s="26" t="n"/>
    </row>
    <row r="296">
      <c r="A296" s="15" t="inlineStr">
        <is>
          <t>Almond Milk</t>
        </is>
      </c>
      <c r="B296" s="18" t="n">
        <v>0</v>
      </c>
      <c r="C296" s="73" t="n">
        <v>0</v>
      </c>
      <c r="D296" s="73" t="n">
        <v>0</v>
      </c>
      <c r="E296" s="73" t="n">
        <v>0</v>
      </c>
      <c r="F296" s="18" t="n">
        <v>0</v>
      </c>
      <c r="G296" s="20" t="n">
        <v>30</v>
      </c>
      <c r="H296" s="18" t="n">
        <v>0</v>
      </c>
      <c r="I296">
        <f t="array" ref="I296">IFERROR(INDEX($N$5:$N$271,MATCH(TRUE,EXACT(A296,$O$5:$O$271),)),"")</f>
        <v/>
      </c>
      <c r="J296" s="25">
        <f>IF(I296="","",IF(E296="","",G296))</f>
        <v/>
      </c>
      <c r="K296" s="26" t="n"/>
    </row>
    <row r="297">
      <c r="A297" s="15" t="inlineStr">
        <is>
          <t>Anchovies</t>
        </is>
      </c>
      <c r="B297" s="18" t="n">
        <v>0</v>
      </c>
      <c r="C297" s="73" t="n">
        <v>0</v>
      </c>
      <c r="D297" s="73" t="n">
        <v>0</v>
      </c>
      <c r="E297" s="73" t="n">
        <v>0</v>
      </c>
      <c r="F297" s="18" t="n">
        <v>0</v>
      </c>
      <c r="G297" s="20" t="n">
        <v>1</v>
      </c>
      <c r="H297" s="18" t="n">
        <v>0</v>
      </c>
      <c r="I297">
        <f t="array" ref="I297">IFERROR(INDEX($N$5:$N$271,MATCH(TRUE,EXACT(A297,$O$5:$O$271),)),"")</f>
        <v/>
      </c>
      <c r="J297" s="25">
        <f>IF(I297="","",IF(E297="","",G297))</f>
        <v/>
      </c>
      <c r="K297" s="26" t="n"/>
    </row>
    <row r="298">
      <c r="A298" s="15" t="inlineStr">
        <is>
          <t>Avocado</t>
        </is>
      </c>
      <c r="B298" s="18" t="n">
        <v>0</v>
      </c>
      <c r="C298" s="73" t="n">
        <v>0</v>
      </c>
      <c r="D298" s="73" t="n">
        <v>0</v>
      </c>
      <c r="E298" s="73" t="n">
        <v>0</v>
      </c>
      <c r="F298" s="18" t="n">
        <v>0</v>
      </c>
      <c r="G298" s="20" t="n">
        <v>3</v>
      </c>
      <c r="H298" s="18" t="n">
        <v>0</v>
      </c>
      <c r="I298">
        <f t="array" ref="I298">IFERROR(INDEX($N$5:$N$271,MATCH(TRUE,EXACT(A298,$O$5:$O$271),)),"")</f>
        <v/>
      </c>
      <c r="J298" s="25">
        <f>IF(I298="","",IF(E298="","",G298))</f>
        <v/>
      </c>
      <c r="K298" s="26" t="n"/>
    </row>
    <row r="299">
      <c r="A299" s="15" t="inlineStr">
        <is>
          <t>Avocado</t>
        </is>
      </c>
      <c r="B299" s="18" t="n">
        <v>0</v>
      </c>
      <c r="C299" s="73" t="n">
        <v>0</v>
      </c>
      <c r="D299" s="73" t="n">
        <v>0</v>
      </c>
      <c r="E299" s="73" t="n">
        <v>0</v>
      </c>
      <c r="F299" s="18" t="n">
        <v>0</v>
      </c>
      <c r="G299" s="20" t="n">
        <v>4</v>
      </c>
      <c r="H299" s="18" t="n">
        <v>0</v>
      </c>
      <c r="I299">
        <f t="array" ref="I299">IFERROR(INDEX($N$5:$N$271,MATCH(TRUE,EXACT(A299,$O$5:$O$271),)),"")</f>
        <v/>
      </c>
      <c r="J299" s="25">
        <f>IF(I299="","",IF(E299="","",G299))</f>
        <v/>
      </c>
      <c r="K299" s="26" t="n"/>
    </row>
    <row r="300">
      <c r="A300" s="15" t="inlineStr">
        <is>
          <t>Avocado</t>
        </is>
      </c>
      <c r="B300" s="18" t="n">
        <v>0</v>
      </c>
      <c r="C300" s="73" t="n">
        <v>0</v>
      </c>
      <c r="D300" s="73" t="n">
        <v>0</v>
      </c>
      <c r="E300" s="73" t="n">
        <v>0</v>
      </c>
      <c r="F300" s="18" t="n">
        <v>0</v>
      </c>
      <c r="G300" s="20" t="n">
        <v>13</v>
      </c>
      <c r="H300" s="18" t="n">
        <v>0</v>
      </c>
      <c r="I300">
        <f t="array" ref="I300">IFERROR(INDEX($N$5:$N$271,MATCH(TRUE,EXACT(A300,$O$5:$O$271),)),"")</f>
        <v/>
      </c>
      <c r="J300" s="25">
        <f>IF(I300="","",IF(E300="","",G300))</f>
        <v/>
      </c>
      <c r="K300" s="26" t="n"/>
    </row>
    <row r="301">
      <c r="A301" s="15" t="inlineStr">
        <is>
          <t>Avocado Sourdough</t>
        </is>
      </c>
      <c r="B301" s="18" t="n">
        <v>0</v>
      </c>
      <c r="C301" s="73" t="n">
        <v>0</v>
      </c>
      <c r="D301" s="73" t="n">
        <v>0</v>
      </c>
      <c r="E301" s="73" t="n">
        <v>0</v>
      </c>
      <c r="F301" s="18" t="n">
        <v>0</v>
      </c>
      <c r="G301" s="20" t="n">
        <v>1</v>
      </c>
      <c r="H301" s="18" t="n">
        <v>0</v>
      </c>
      <c r="I301">
        <f t="array" ref="I301">IFERROR(INDEX($N$5:$N$271,MATCH(TRUE,EXACT(A301,$O$5:$O$271),)),"")</f>
        <v/>
      </c>
      <c r="J301" s="25">
        <f>IF(I301="","",IF(E301="","",G301))</f>
        <v/>
      </c>
      <c r="K301" s="26" t="n"/>
    </row>
    <row r="302">
      <c r="A302" s="15" t="inlineStr">
        <is>
          <t>Bacon</t>
        </is>
      </c>
      <c r="B302" s="18" t="n">
        <v>0</v>
      </c>
      <c r="C302" s="73" t="n">
        <v>0</v>
      </c>
      <c r="D302" s="73" t="n">
        <v>0</v>
      </c>
      <c r="E302" s="73" t="n">
        <v>0</v>
      </c>
      <c r="F302" s="18" t="n">
        <v>0</v>
      </c>
      <c r="G302" s="20" t="n">
        <v>49</v>
      </c>
      <c r="H302" s="18" t="n">
        <v>0</v>
      </c>
      <c r="I302">
        <f t="array" ref="I302">IFERROR(INDEX($N$5:$N$271,MATCH(TRUE,EXACT(A302,$O$5:$O$271),)),"")</f>
        <v/>
      </c>
      <c r="J302" s="25">
        <f>IF(I302="","",IF(E302="","",G302))</f>
        <v/>
      </c>
      <c r="K302" s="26" t="n"/>
    </row>
    <row r="303">
      <c r="A303" s="15" t="inlineStr">
        <is>
          <t>Bacon</t>
        </is>
      </c>
      <c r="B303" s="18" t="n">
        <v>0</v>
      </c>
      <c r="C303" s="73" t="n">
        <v>0</v>
      </c>
      <c r="D303" s="73" t="n">
        <v>0</v>
      </c>
      <c r="E303" s="73" t="n">
        <v>0</v>
      </c>
      <c r="F303" s="18" t="n">
        <v>0</v>
      </c>
      <c r="G303" s="20" t="n">
        <v>156</v>
      </c>
      <c r="H303" s="18" t="n">
        <v>0</v>
      </c>
      <c r="I303">
        <f t="array" ref="I303">IFERROR(INDEX($N$5:$N$271,MATCH(TRUE,EXACT(A303,$O$5:$O$271),)),"")</f>
        <v/>
      </c>
      <c r="J303" s="25">
        <f>IF(I303="","",IF(E303="","",G303))</f>
        <v/>
      </c>
      <c r="K303" s="26" t="n"/>
    </row>
    <row r="304">
      <c r="A304" s="15" t="inlineStr">
        <is>
          <t>Bacon</t>
        </is>
      </c>
      <c r="B304" s="18" t="n">
        <v>0</v>
      </c>
      <c r="C304" s="73" t="n">
        <v>0</v>
      </c>
      <c r="D304" s="73" t="n">
        <v>0</v>
      </c>
      <c r="E304" s="73" t="n">
        <v>0</v>
      </c>
      <c r="F304" s="18" t="n">
        <v>0</v>
      </c>
      <c r="G304" s="20" t="n">
        <v>7</v>
      </c>
      <c r="H304" s="18" t="n">
        <v>0</v>
      </c>
      <c r="I304">
        <f t="array" ref="I304">IFERROR(INDEX($N$5:$N$271,MATCH(TRUE,EXACT(A304,$O$5:$O$271),)),"")</f>
        <v/>
      </c>
      <c r="J304" s="25">
        <f>IF(I304="","",IF(E304="","",G304))</f>
        <v/>
      </c>
      <c r="K304" s="26" t="n"/>
    </row>
    <row r="305">
      <c r="A305" s="15" t="inlineStr">
        <is>
          <t>Bacon Crispy</t>
        </is>
      </c>
      <c r="B305" s="18" t="n">
        <v>0</v>
      </c>
      <c r="C305" s="73" t="n">
        <v>0</v>
      </c>
      <c r="D305" s="73" t="n">
        <v>0</v>
      </c>
      <c r="E305" s="73" t="n">
        <v>0</v>
      </c>
      <c r="F305" s="18" t="n">
        <v>0</v>
      </c>
      <c r="G305" s="20" t="n">
        <v>4</v>
      </c>
      <c r="H305" s="18" t="n">
        <v>0</v>
      </c>
      <c r="I305">
        <f t="array" ref="I305">IFERROR(INDEX($N$5:$N$271,MATCH(TRUE,EXACT(A305,$O$5:$O$271),)),"")</f>
        <v/>
      </c>
      <c r="J305" s="25">
        <f>IF(I305="","",IF(E305="","",G305))</f>
        <v/>
      </c>
      <c r="K305" s="26" t="n"/>
    </row>
    <row r="306">
      <c r="A306" s="15" t="inlineStr">
        <is>
          <t>Baked Beans</t>
        </is>
      </c>
      <c r="B306" s="18" t="n">
        <v>0</v>
      </c>
      <c r="C306" s="73" t="n">
        <v>0</v>
      </c>
      <c r="D306" s="73" t="n">
        <v>0</v>
      </c>
      <c r="E306" s="73" t="n">
        <v>0</v>
      </c>
      <c r="F306" s="18" t="n">
        <v>0</v>
      </c>
      <c r="G306" s="20" t="n">
        <v>62</v>
      </c>
      <c r="H306" s="18" t="n">
        <v>0</v>
      </c>
      <c r="I306">
        <f t="array" ref="I306">IFERROR(INDEX($N$5:$N$271,MATCH(TRUE,EXACT(A306,$O$5:$O$271),)),"")</f>
        <v/>
      </c>
      <c r="J306" s="25">
        <f>IF(I306="","",IF(E306="","",G306))</f>
        <v/>
      </c>
      <c r="K306" s="26" t="n"/>
    </row>
    <row r="307">
      <c r="A307" s="15" t="inlineStr">
        <is>
          <t>Banana</t>
        </is>
      </c>
      <c r="B307" s="18" t="n">
        <v>0</v>
      </c>
      <c r="C307" s="73" t="n">
        <v>0</v>
      </c>
      <c r="D307" s="73" t="n">
        <v>0</v>
      </c>
      <c r="E307" s="73" t="n">
        <v>0</v>
      </c>
      <c r="F307" s="18" t="n">
        <v>0</v>
      </c>
      <c r="G307" s="20" t="n">
        <v>1</v>
      </c>
      <c r="H307" s="18" t="n">
        <v>0</v>
      </c>
      <c r="I307">
        <f t="array" ref="I307">IFERROR(INDEX($N$5:$N$271,MATCH(TRUE,EXACT(A307,$O$5:$O$271),)),"")</f>
        <v/>
      </c>
      <c r="J307" s="25">
        <f>IF(I307="","",IF(E307="","",G307))</f>
        <v/>
      </c>
      <c r="K307" s="26" t="n"/>
    </row>
    <row r="308">
      <c r="A308" s="15" t="inlineStr">
        <is>
          <t>Banana</t>
        </is>
      </c>
      <c r="B308" s="18" t="n">
        <v>0</v>
      </c>
      <c r="C308" s="73" t="n">
        <v>0</v>
      </c>
      <c r="D308" s="73" t="n">
        <v>0</v>
      </c>
      <c r="E308" s="73" t="n">
        <v>0</v>
      </c>
      <c r="F308" s="18" t="n">
        <v>0</v>
      </c>
      <c r="G308" s="20" t="n">
        <v>6</v>
      </c>
      <c r="H308" s="18" t="n">
        <v>0</v>
      </c>
      <c r="I308">
        <f t="array" ref="I308">IFERROR(INDEX($N$5:$N$271,MATCH(TRUE,EXACT(A308,$O$5:$O$271),)),"")</f>
        <v/>
      </c>
      <c r="J308" s="25">
        <f>IF(I308="","",IF(E308="","",G308))</f>
        <v/>
      </c>
      <c r="K308" s="26" t="n"/>
    </row>
    <row r="309">
      <c r="A309" s="15" t="inlineStr">
        <is>
          <t>Banana</t>
        </is>
      </c>
      <c r="B309" s="18" t="n">
        <v>0</v>
      </c>
      <c r="C309" s="73" t="n">
        <v>0</v>
      </c>
      <c r="D309" s="73" t="n">
        <v>0</v>
      </c>
      <c r="E309" s="73" t="n">
        <v>0</v>
      </c>
      <c r="F309" s="18" t="n">
        <v>0</v>
      </c>
      <c r="G309" s="20" t="n">
        <v>1</v>
      </c>
      <c r="H309" s="18" t="n">
        <v>0</v>
      </c>
      <c r="I309">
        <f t="array" ref="I309">IFERROR(INDEX($N$5:$N$271,MATCH(TRUE,EXACT(A309,$O$5:$O$271),)),"")</f>
        <v/>
      </c>
      <c r="J309" s="25">
        <f>IF(I309="","",IF(E309="","",G309))</f>
        <v/>
      </c>
      <c r="K309" s="26" t="n"/>
    </row>
    <row r="310">
      <c r="A310" s="15" t="inlineStr">
        <is>
          <t>Beef</t>
        </is>
      </c>
      <c r="B310" s="18" t="n">
        <v>0</v>
      </c>
      <c r="C310" s="73" t="n">
        <v>0</v>
      </c>
      <c r="D310" s="73" t="n">
        <v>0</v>
      </c>
      <c r="E310" s="73" t="n">
        <v>0</v>
      </c>
      <c r="F310" s="18" t="n">
        <v>0</v>
      </c>
      <c r="G310" s="20" t="n">
        <v>1</v>
      </c>
      <c r="H310" s="18" t="n">
        <v>0</v>
      </c>
      <c r="I310">
        <f t="array" ref="I310">IFERROR(INDEX($N$5:$N$271,MATCH(TRUE,EXACT(A310,$O$5:$O$271),)),"")</f>
        <v/>
      </c>
      <c r="J310" s="25">
        <f>IF(I310="","",IF(E310="","",G310))</f>
        <v/>
      </c>
      <c r="K310" s="26" t="n"/>
    </row>
    <row r="311">
      <c r="A311" s="15" t="inlineStr">
        <is>
          <t>Berries</t>
        </is>
      </c>
      <c r="B311" s="18" t="n">
        <v>0</v>
      </c>
      <c r="C311" s="73" t="n">
        <v>0</v>
      </c>
      <c r="D311" s="73" t="n">
        <v>0</v>
      </c>
      <c r="E311" s="73" t="n">
        <v>0</v>
      </c>
      <c r="F311" s="18" t="n">
        <v>0</v>
      </c>
      <c r="G311" s="20" t="n">
        <v>4</v>
      </c>
      <c r="H311" s="18" t="n">
        <v>0</v>
      </c>
      <c r="I311">
        <f t="array" ref="I311">IFERROR(INDEX($N$5:$N$271,MATCH(TRUE,EXACT(A311,$O$5:$O$271),)),"")</f>
        <v/>
      </c>
      <c r="J311" s="25">
        <f>IF(I311="","",IF(E311="","",G311))</f>
        <v/>
      </c>
      <c r="K311" s="26" t="n"/>
    </row>
    <row r="312">
      <c r="A312" s="15" t="inlineStr">
        <is>
          <t>Berries</t>
        </is>
      </c>
      <c r="B312" s="18" t="n">
        <v>0</v>
      </c>
      <c r="C312" s="73" t="n">
        <v>0</v>
      </c>
      <c r="D312" s="73" t="n">
        <v>0</v>
      </c>
      <c r="E312" s="73" t="n">
        <v>0</v>
      </c>
      <c r="F312" s="18" t="n">
        <v>0</v>
      </c>
      <c r="G312" s="20" t="n">
        <v>14</v>
      </c>
      <c r="H312" s="18" t="n">
        <v>0</v>
      </c>
      <c r="I312">
        <f t="array" ref="I312">IFERROR(INDEX($N$5:$N$271,MATCH(TRUE,EXACT(A312,$O$5:$O$271),)),"")</f>
        <v/>
      </c>
      <c r="J312" s="25">
        <f>IF(I312="","",IF(E312="","",G312))</f>
        <v/>
      </c>
      <c r="K312" s="26" t="n"/>
    </row>
    <row r="313">
      <c r="A313" s="15" t="inlineStr">
        <is>
          <t>Black Pudding</t>
        </is>
      </c>
      <c r="B313" s="18" t="n">
        <v>0</v>
      </c>
      <c r="C313" s="73" t="n">
        <v>0</v>
      </c>
      <c r="D313" s="73" t="n">
        <v>0</v>
      </c>
      <c r="E313" s="73" t="n">
        <v>0</v>
      </c>
      <c r="F313" s="18" t="n">
        <v>0</v>
      </c>
      <c r="G313" s="20" t="n">
        <v>41</v>
      </c>
      <c r="H313" s="18" t="n">
        <v>0</v>
      </c>
      <c r="I313">
        <f t="array" ref="I313">IFERROR(INDEX($N$5:$N$271,MATCH(TRUE,EXACT(A313,$O$5:$O$271),)),"")</f>
        <v/>
      </c>
      <c r="J313" s="25">
        <f>IF(I313="","",IF(E313="","",G313))</f>
        <v/>
      </c>
      <c r="K313" s="26" t="n"/>
    </row>
    <row r="314">
      <c r="A314" s="15" t="inlineStr">
        <is>
          <t>Boiled Eggs</t>
        </is>
      </c>
      <c r="B314" s="18" t="n">
        <v>0</v>
      </c>
      <c r="C314" s="73" t="n">
        <v>0</v>
      </c>
      <c r="D314" s="73" t="n">
        <v>0</v>
      </c>
      <c r="E314" s="73" t="n">
        <v>0</v>
      </c>
      <c r="F314" s="18" t="n">
        <v>0</v>
      </c>
      <c r="G314" s="20" t="n">
        <v>49</v>
      </c>
      <c r="H314" s="18" t="n">
        <v>0</v>
      </c>
      <c r="I314">
        <f t="array" ref="I314">IFERROR(INDEX($N$5:$N$271,MATCH(TRUE,EXACT(A314,$O$5:$O$271),)),"")</f>
        <v/>
      </c>
      <c r="J314" s="25">
        <f>IF(I314="","",IF(E314="","",G314))</f>
        <v/>
      </c>
      <c r="K314" s="26" t="n"/>
    </row>
    <row r="315">
      <c r="A315" s="15" t="inlineStr">
        <is>
          <t>Bolognese</t>
        </is>
      </c>
      <c r="B315" s="18" t="n">
        <v>0</v>
      </c>
      <c r="C315" s="73" t="n">
        <v>0</v>
      </c>
      <c r="D315" s="73" t="n">
        <v>0</v>
      </c>
      <c r="E315" s="73" t="n">
        <v>0</v>
      </c>
      <c r="F315" s="18" t="n">
        <v>0</v>
      </c>
      <c r="G315" s="20" t="n">
        <v>36</v>
      </c>
      <c r="H315" s="18" t="n">
        <v>0</v>
      </c>
      <c r="I315">
        <f t="array" ref="I315">IFERROR(INDEX($N$5:$N$271,MATCH(TRUE,EXACT(A315,$O$5:$O$271),)),"")</f>
        <v/>
      </c>
      <c r="J315" s="25">
        <f>IF(I315="","",IF(E315="","",G315))</f>
        <v/>
      </c>
      <c r="K315" s="26" t="n"/>
    </row>
    <row r="316">
      <c r="A316" s="15" t="inlineStr">
        <is>
          <t>Brown</t>
        </is>
      </c>
      <c r="B316" s="18" t="n">
        <v>0</v>
      </c>
      <c r="C316" s="73" t="n">
        <v>0</v>
      </c>
      <c r="D316" s="73" t="n">
        <v>0</v>
      </c>
      <c r="E316" s="73" t="n">
        <v>0</v>
      </c>
      <c r="F316" s="18" t="n">
        <v>0</v>
      </c>
      <c r="G316" s="20" t="n">
        <v>57</v>
      </c>
      <c r="H316" s="18" t="n">
        <v>0</v>
      </c>
      <c r="I316">
        <f t="array" ref="I316">IFERROR(INDEX($N$5:$N$271,MATCH(TRUE,EXACT(A316,$O$5:$O$271),)),"")</f>
        <v/>
      </c>
      <c r="J316" s="25">
        <f>IF(I316="","",IF(E316="","",G316))</f>
        <v/>
      </c>
      <c r="K316" s="26" t="n"/>
    </row>
    <row r="317">
      <c r="A317" s="15" t="inlineStr">
        <is>
          <t>Brown Toast</t>
        </is>
      </c>
      <c r="B317" s="18" t="n">
        <v>0</v>
      </c>
      <c r="C317" s="73" t="n">
        <v>0</v>
      </c>
      <c r="D317" s="73" t="n">
        <v>0</v>
      </c>
      <c r="E317" s="73" t="n">
        <v>0</v>
      </c>
      <c r="F317" s="18" t="n">
        <v>0</v>
      </c>
      <c r="G317" s="20" t="n">
        <v>161</v>
      </c>
      <c r="H317" s="18" t="n">
        <v>0</v>
      </c>
      <c r="I317">
        <f t="array" ref="I317">IFERROR(INDEX($N$5:$N$271,MATCH(TRUE,EXACT(A317,$O$5:$O$271),)),"")</f>
        <v/>
      </c>
      <c r="J317" s="25">
        <f>IF(I317="","",IF(E317="","",G317))</f>
        <v/>
      </c>
      <c r="K317" s="26" t="n"/>
    </row>
    <row r="318">
      <c r="A318" s="15" t="inlineStr">
        <is>
          <t>Butter</t>
        </is>
      </c>
      <c r="B318" s="18" t="n">
        <v>0</v>
      </c>
      <c r="C318" s="73" t="n">
        <v>0</v>
      </c>
      <c r="D318" s="73" t="n">
        <v>0</v>
      </c>
      <c r="E318" s="73" t="n">
        <v>0</v>
      </c>
      <c r="F318" s="18" t="n">
        <v>0</v>
      </c>
      <c r="G318" s="20" t="n">
        <v>2</v>
      </c>
      <c r="H318" s="18" t="n">
        <v>0</v>
      </c>
      <c r="I318">
        <f t="array" ref="I318">IFERROR(INDEX($N$5:$N$271,MATCH(TRUE,EXACT(A318,$O$5:$O$271),)),"")</f>
        <v/>
      </c>
      <c r="J318" s="25">
        <f>IF(I318="","",IF(E318="","",G318))</f>
        <v/>
      </c>
      <c r="K318" s="26" t="n"/>
    </row>
    <row r="319">
      <c r="A319" s="15" t="inlineStr">
        <is>
          <t>Cheese</t>
        </is>
      </c>
      <c r="B319" s="18" t="n">
        <v>0</v>
      </c>
      <c r="C319" s="73" t="n">
        <v>0</v>
      </c>
      <c r="D319" s="73" t="n">
        <v>0</v>
      </c>
      <c r="E319" s="73" t="n">
        <v>0</v>
      </c>
      <c r="F319" s="18" t="n">
        <v>0</v>
      </c>
      <c r="G319" s="20" t="n">
        <v>44</v>
      </c>
      <c r="H319" s="18" t="n">
        <v>0</v>
      </c>
      <c r="I319">
        <f t="array" ref="I319">IFERROR(INDEX($N$5:$N$271,MATCH(TRUE,EXACT(A319,$O$5:$O$271),)),"")</f>
        <v/>
      </c>
      <c r="J319" s="25">
        <f>IF(I319="","",IF(E319="","",G319))</f>
        <v/>
      </c>
      <c r="K319" s="26" t="n"/>
    </row>
    <row r="320">
      <c r="A320" s="15" t="inlineStr">
        <is>
          <t>Cheese</t>
        </is>
      </c>
      <c r="B320" s="18" t="n">
        <v>0</v>
      </c>
      <c r="C320" s="73" t="n">
        <v>0</v>
      </c>
      <c r="D320" s="73" t="n">
        <v>0</v>
      </c>
      <c r="E320" s="73" t="n">
        <v>0</v>
      </c>
      <c r="F320" s="18" t="n">
        <v>0</v>
      </c>
      <c r="G320" s="20" t="n">
        <v>87</v>
      </c>
      <c r="H320" s="18" t="n">
        <v>0</v>
      </c>
      <c r="I320">
        <f t="array" ref="I320">IFERROR(INDEX($N$5:$N$271,MATCH(TRUE,EXACT(A320,$O$5:$O$271),)),"")</f>
        <v/>
      </c>
      <c r="J320" s="25">
        <f>IF(I320="","",IF(E320="","",G320))</f>
        <v/>
      </c>
      <c r="K320" s="26" t="n"/>
    </row>
    <row r="321">
      <c r="A321" s="15" t="inlineStr">
        <is>
          <t>Cheese</t>
        </is>
      </c>
      <c r="B321" s="18" t="n">
        <v>0</v>
      </c>
      <c r="C321" s="73" t="n">
        <v>0</v>
      </c>
      <c r="D321" s="73" t="n">
        <v>0</v>
      </c>
      <c r="E321" s="73" t="n">
        <v>0</v>
      </c>
      <c r="F321" s="18" t="n">
        <v>0</v>
      </c>
      <c r="G321" s="20" t="n">
        <v>1</v>
      </c>
      <c r="H321" s="18" t="n">
        <v>0</v>
      </c>
      <c r="I321">
        <f t="array" ref="I321">IFERROR(INDEX($N$5:$N$271,MATCH(TRUE,EXACT(A321,$O$5:$O$271),)),"")</f>
        <v/>
      </c>
      <c r="J321" s="25">
        <f>IF(I321="","",IF(E321="","",G321))</f>
        <v/>
      </c>
      <c r="K321" s="26" t="n"/>
    </row>
    <row r="322">
      <c r="A322" s="15" t="inlineStr">
        <is>
          <t>Cheese</t>
        </is>
      </c>
      <c r="B322" s="18" t="n">
        <v>0</v>
      </c>
      <c r="C322" s="73" t="n">
        <v>0</v>
      </c>
      <c r="D322" s="73" t="n">
        <v>0</v>
      </c>
      <c r="E322" s="73" t="n">
        <v>0</v>
      </c>
      <c r="F322" s="18" t="n">
        <v>0</v>
      </c>
      <c r="G322" s="20" t="n">
        <v>19</v>
      </c>
      <c r="H322" s="18" t="n">
        <v>0</v>
      </c>
      <c r="I322">
        <f t="array" ref="I322">IFERROR(INDEX($N$5:$N$271,MATCH(TRUE,EXACT(A322,$O$5:$O$271),)),"")</f>
        <v/>
      </c>
      <c r="J322" s="25">
        <f>IF(I322="","",IF(E322="","",G322))</f>
        <v/>
      </c>
      <c r="K322" s="26" t="n"/>
    </row>
    <row r="323">
      <c r="A323" s="15" t="inlineStr">
        <is>
          <t>Chicken</t>
        </is>
      </c>
      <c r="B323" s="18" t="n">
        <v>0</v>
      </c>
      <c r="C323" s="73" t="n">
        <v>0</v>
      </c>
      <c r="D323" s="73" t="n">
        <v>0</v>
      </c>
      <c r="E323" s="73" t="n">
        <v>0</v>
      </c>
      <c r="F323" s="18" t="n">
        <v>0</v>
      </c>
      <c r="G323" s="20" t="n">
        <v>1</v>
      </c>
      <c r="H323" s="18" t="n">
        <v>0</v>
      </c>
      <c r="I323">
        <f t="array" ref="I323">IFERROR(INDEX($N$5:$N$271,MATCH(TRUE,EXACT(A323,$O$5:$O$271),)),"")</f>
        <v/>
      </c>
      <c r="J323" s="25">
        <f>IF(I323="","",IF(E323="","",G323))</f>
        <v/>
      </c>
      <c r="K323" s="26" t="n"/>
    </row>
    <row r="324">
      <c r="A324" s="15" t="inlineStr">
        <is>
          <t>Chillies</t>
        </is>
      </c>
      <c r="B324" s="18" t="n">
        <v>0</v>
      </c>
      <c r="C324" s="73" t="n">
        <v>0</v>
      </c>
      <c r="D324" s="73" t="n">
        <v>0</v>
      </c>
      <c r="E324" s="73" t="n">
        <v>0</v>
      </c>
      <c r="F324" s="18" t="n">
        <v>0</v>
      </c>
      <c r="G324" s="20" t="n">
        <v>1</v>
      </c>
      <c r="H324" s="18" t="n">
        <v>0</v>
      </c>
      <c r="I324">
        <f t="array" ref="I324">IFERROR(INDEX($N$5:$N$271,MATCH(TRUE,EXACT(A324,$O$5:$O$271),)),"")</f>
        <v/>
      </c>
      <c r="J324" s="25">
        <f>IF(I324="","",IF(E324="","",G324))</f>
        <v/>
      </c>
      <c r="K324" s="26" t="n"/>
    </row>
    <row r="325">
      <c r="A325" s="15" t="inlineStr">
        <is>
          <t>Chimichurri</t>
        </is>
      </c>
      <c r="B325" s="18" t="n">
        <v>0</v>
      </c>
      <c r="C325" s="73" t="n">
        <v>0</v>
      </c>
      <c r="D325" s="73" t="n">
        <v>0</v>
      </c>
      <c r="E325" s="73" t="n">
        <v>0</v>
      </c>
      <c r="F325" s="18" t="n">
        <v>0</v>
      </c>
      <c r="G325" s="20" t="n">
        <v>41</v>
      </c>
      <c r="H325" s="18" t="n">
        <v>0</v>
      </c>
      <c r="I325">
        <f t="array" ref="I325">IFERROR(INDEX($N$5:$N$271,MATCH(TRUE,EXACT(A325,$O$5:$O$271),)),"")</f>
        <v/>
      </c>
      <c r="J325" s="25">
        <f>IF(I325="","",IF(E325="","",G325))</f>
        <v/>
      </c>
      <c r="K325" s="26" t="n"/>
    </row>
    <row r="326">
      <c r="A326" s="15" t="inlineStr">
        <is>
          <t>Chocolate</t>
        </is>
      </c>
      <c r="B326" s="18" t="n">
        <v>0</v>
      </c>
      <c r="C326" s="73" t="n">
        <v>0</v>
      </c>
      <c r="D326" s="73" t="n">
        <v>0</v>
      </c>
      <c r="E326" s="73" t="n">
        <v>0</v>
      </c>
      <c r="F326" s="18" t="n">
        <v>0</v>
      </c>
      <c r="G326" s="20" t="n">
        <v>15</v>
      </c>
      <c r="H326" s="18" t="n">
        <v>0</v>
      </c>
      <c r="I326">
        <f t="array" ref="I326">IFERROR(INDEX($N$5:$N$271,MATCH(TRUE,EXACT(A326,$O$5:$O$271),)),"")</f>
        <v/>
      </c>
      <c r="J326" s="25">
        <f>IF(I326="","",IF(E326="","",G326))</f>
        <v/>
      </c>
      <c r="K326" s="26" t="n"/>
    </row>
    <row r="327">
      <c r="A327" s="15" t="inlineStr">
        <is>
          <t>Chocolate</t>
        </is>
      </c>
      <c r="B327" s="18" t="n">
        <v>0</v>
      </c>
      <c r="C327" s="73" t="n">
        <v>0</v>
      </c>
      <c r="D327" s="73" t="n">
        <v>0</v>
      </c>
      <c r="E327" s="73" t="n">
        <v>0</v>
      </c>
      <c r="F327" s="18" t="n">
        <v>0</v>
      </c>
      <c r="G327" s="20" t="n">
        <v>17</v>
      </c>
      <c r="H327" s="18" t="n">
        <v>0</v>
      </c>
      <c r="I327">
        <f t="array" ref="I327">IFERROR(INDEX($N$5:$N$271,MATCH(TRUE,EXACT(A327,$O$5:$O$271),)),"")</f>
        <v/>
      </c>
      <c r="J327" s="25">
        <f>IF(I327="","",IF(E327="","",G327))</f>
        <v/>
      </c>
      <c r="K327" s="26" t="n"/>
    </row>
    <row r="328">
      <c r="A328" s="15" t="inlineStr">
        <is>
          <t>Chocolate</t>
        </is>
      </c>
      <c r="B328" s="18" t="n">
        <v>0</v>
      </c>
      <c r="C328" s="73" t="n">
        <v>0</v>
      </c>
      <c r="D328" s="73" t="n">
        <v>0</v>
      </c>
      <c r="E328" s="73" t="n">
        <v>0</v>
      </c>
      <c r="F328" s="18" t="n">
        <v>0</v>
      </c>
      <c r="G328" s="20" t="n">
        <v>2</v>
      </c>
      <c r="H328" s="18" t="n">
        <v>0</v>
      </c>
      <c r="I328">
        <f t="array" ref="I328">IFERROR(INDEX($N$5:$N$271,MATCH(TRUE,EXACT(A328,$O$5:$O$271),)),"")</f>
        <v/>
      </c>
      <c r="J328" s="25">
        <f>IF(I328="","",IF(E328="","",G328))</f>
        <v/>
      </c>
      <c r="K328" s="26" t="n"/>
    </row>
    <row r="329">
      <c r="A329" s="15" t="inlineStr">
        <is>
          <t>Chx Sausage</t>
        </is>
      </c>
      <c r="B329" s="18" t="n">
        <v>0</v>
      </c>
      <c r="C329" s="73" t="n">
        <v>0</v>
      </c>
      <c r="D329" s="73" t="n">
        <v>0</v>
      </c>
      <c r="E329" s="73" t="n">
        <v>0</v>
      </c>
      <c r="F329" s="18" t="n">
        <v>0</v>
      </c>
      <c r="G329" s="20" t="n">
        <v>4</v>
      </c>
      <c r="H329" s="18" t="n">
        <v>0</v>
      </c>
      <c r="I329">
        <f t="array" ref="I329">IFERROR(INDEX($N$5:$N$271,MATCH(TRUE,EXACT(A329,$O$5:$O$271),)),"")</f>
        <v/>
      </c>
      <c r="J329" s="25">
        <f>IF(I329="","",IF(E329="","",G329))</f>
        <v/>
      </c>
      <c r="K329" s="26" t="n"/>
    </row>
    <row r="330">
      <c r="A330" s="15" t="inlineStr">
        <is>
          <t>Coconut Milk</t>
        </is>
      </c>
      <c r="B330" s="18" t="n">
        <v>0</v>
      </c>
      <c r="C330" s="73" t="n">
        <v>0</v>
      </c>
      <c r="D330" s="73" t="n">
        <v>0</v>
      </c>
      <c r="E330" s="73" t="n">
        <v>0</v>
      </c>
      <c r="F330" s="18" t="n">
        <v>0</v>
      </c>
      <c r="G330" s="20" t="n">
        <v>1</v>
      </c>
      <c r="H330" s="18" t="n">
        <v>0</v>
      </c>
      <c r="I330">
        <f t="array" ref="I330">IFERROR(INDEX($N$5:$N$271,MATCH(TRUE,EXACT(A330,$O$5:$O$271),)),"")</f>
        <v/>
      </c>
      <c r="J330" s="25">
        <f>IF(I330="","",IF(E330="","",G330))</f>
        <v/>
      </c>
      <c r="K330" s="26" t="n"/>
    </row>
    <row r="331">
      <c r="A331" s="15" t="inlineStr">
        <is>
          <t>Coconut Milk</t>
        </is>
      </c>
      <c r="B331" s="18" t="n">
        <v>0</v>
      </c>
      <c r="C331" s="73" t="n">
        <v>0</v>
      </c>
      <c r="D331" s="73" t="n">
        <v>0</v>
      </c>
      <c r="E331" s="73" t="n">
        <v>0</v>
      </c>
      <c r="F331" s="18" t="n">
        <v>0</v>
      </c>
      <c r="G331" s="20" t="n">
        <v>8</v>
      </c>
      <c r="H331" s="18" t="n">
        <v>0</v>
      </c>
      <c r="I331">
        <f t="array" ref="I331">IFERROR(INDEX($N$5:$N$271,MATCH(TRUE,EXACT(A331,$O$5:$O$271),)),"")</f>
        <v/>
      </c>
      <c r="J331" s="25">
        <f>IF(I331="","",IF(E331="","",G331))</f>
        <v/>
      </c>
      <c r="K331" s="26" t="n"/>
    </row>
    <row r="332">
      <c r="A332" s="15" t="inlineStr">
        <is>
          <t>Coco Pops</t>
        </is>
      </c>
      <c r="B332" s="18" t="n">
        <v>0</v>
      </c>
      <c r="C332" s="73" t="n">
        <v>0</v>
      </c>
      <c r="D332" s="73" t="n">
        <v>0</v>
      </c>
      <c r="E332" s="73" t="n">
        <v>0</v>
      </c>
      <c r="F332" s="18" t="n">
        <v>0</v>
      </c>
      <c r="G332" s="20" t="n">
        <v>28</v>
      </c>
      <c r="H332" s="18" t="n">
        <v>0</v>
      </c>
      <c r="I332">
        <f t="array" ref="I332">IFERROR(INDEX($N$5:$N$271,MATCH(TRUE,EXACT(A332,$O$5:$O$271),)),"")</f>
        <v/>
      </c>
      <c r="J332" s="25">
        <f>IF(I332="","",IF(E332="","",G332))</f>
        <v/>
      </c>
      <c r="K332" s="26" t="n"/>
    </row>
    <row r="333">
      <c r="A333" s="15" t="inlineStr">
        <is>
          <t>Cold Milk</t>
        </is>
      </c>
      <c r="B333" s="18" t="n">
        <v>0</v>
      </c>
      <c r="C333" s="73" t="n">
        <v>0</v>
      </c>
      <c r="D333" s="73" t="n">
        <v>0</v>
      </c>
      <c r="E333" s="73" t="n">
        <v>0</v>
      </c>
      <c r="F333" s="18" t="n">
        <v>0</v>
      </c>
      <c r="G333" s="20" t="n">
        <v>84</v>
      </c>
      <c r="H333" s="18" t="n">
        <v>0</v>
      </c>
      <c r="I333">
        <f t="array" ref="I333">IFERROR(INDEX($N$5:$N$271,MATCH(TRUE,EXACT(A333,$O$5:$O$271),)),"")</f>
        <v/>
      </c>
      <c r="J333" s="25">
        <f>IF(I333="","",IF(E333="","",G333))</f>
        <v/>
      </c>
      <c r="K333" s="26" t="n"/>
    </row>
    <row r="334">
      <c r="A334" s="15" t="inlineStr">
        <is>
          <t>Cold Milk</t>
        </is>
      </c>
      <c r="B334" s="18" t="n">
        <v>0</v>
      </c>
      <c r="C334" s="73" t="n">
        <v>0</v>
      </c>
      <c r="D334" s="73" t="n">
        <v>0</v>
      </c>
      <c r="E334" s="73" t="n">
        <v>0</v>
      </c>
      <c r="F334" s="18" t="n">
        <v>0</v>
      </c>
      <c r="G334" s="20" t="n">
        <v>334</v>
      </c>
      <c r="H334" s="18" t="n">
        <v>0</v>
      </c>
      <c r="I334">
        <f t="array" ref="I334">IFERROR(INDEX($N$5:$N$271,MATCH(TRUE,EXACT(A334,$O$5:$O$271),)),"")</f>
        <v/>
      </c>
      <c r="J334" s="25">
        <f>IF(I334="","",IF(E334="","",G334))</f>
        <v/>
      </c>
      <c r="K334" s="26" t="n"/>
    </row>
    <row r="335">
      <c r="A335" s="15" t="inlineStr">
        <is>
          <t>Cornflakes</t>
        </is>
      </c>
      <c r="B335" s="18" t="n">
        <v>0</v>
      </c>
      <c r="C335" s="73" t="n">
        <v>0</v>
      </c>
      <c r="D335" s="73" t="n">
        <v>0</v>
      </c>
      <c r="E335" s="73" t="n">
        <v>0</v>
      </c>
      <c r="F335" s="18" t="n">
        <v>0</v>
      </c>
      <c r="G335" s="20" t="n">
        <v>12</v>
      </c>
      <c r="H335" s="18" t="n">
        <v>0</v>
      </c>
      <c r="I335">
        <f t="array" ref="I335">IFERROR(INDEX($N$5:$N$271,MATCH(TRUE,EXACT(A335,$O$5:$O$271),)),"")</f>
        <v/>
      </c>
      <c r="J335" s="25">
        <f>IF(I335="","",IF(E335="","",G335))</f>
        <v/>
      </c>
      <c r="K335" s="26" t="n"/>
    </row>
    <row r="336">
      <c r="A336" s="15" t="inlineStr">
        <is>
          <t>Cream</t>
        </is>
      </c>
      <c r="B336" s="18" t="n">
        <v>0</v>
      </c>
      <c r="C336" s="73" t="n">
        <v>0</v>
      </c>
      <c r="D336" s="73" t="n">
        <v>0</v>
      </c>
      <c r="E336" s="73" t="n">
        <v>0</v>
      </c>
      <c r="F336" s="18" t="n">
        <v>0</v>
      </c>
      <c r="G336" s="20" t="n">
        <v>3</v>
      </c>
      <c r="H336" s="18" t="n">
        <v>0</v>
      </c>
      <c r="I336">
        <f t="array" ref="I336">IFERROR(INDEX($N$5:$N$271,MATCH(TRUE,EXACT(A336,$O$5:$O$271),)),"")</f>
        <v/>
      </c>
      <c r="J336" s="25">
        <f>IF(I336="","",IF(E336="","",G336))</f>
        <v/>
      </c>
      <c r="K336" s="26" t="n"/>
    </row>
    <row r="337">
      <c r="A337" s="15" t="inlineStr">
        <is>
          <t>Croissants</t>
        </is>
      </c>
      <c r="B337" s="18" t="n">
        <v>0</v>
      </c>
      <c r="C337" s="73" t="n">
        <v>0</v>
      </c>
      <c r="D337" s="73" t="n">
        <v>0</v>
      </c>
      <c r="E337" s="73" t="n">
        <v>0</v>
      </c>
      <c r="F337" s="18" t="n">
        <v>0</v>
      </c>
      <c r="G337" s="20" t="n">
        <v>99</v>
      </c>
      <c r="H337" s="18" t="n">
        <v>0</v>
      </c>
      <c r="I337">
        <f t="array" ref="I337">IFERROR(INDEX($N$5:$N$271,MATCH(TRUE,EXACT(A337,$O$5:$O$271),)),"")</f>
        <v/>
      </c>
      <c r="J337" s="25">
        <f>IF(I337="","",IF(E337="","",G337))</f>
        <v/>
      </c>
      <c r="K337" s="26" t="n"/>
    </row>
    <row r="338">
      <c r="A338" s="15" t="inlineStr">
        <is>
          <t>DONT MAKE</t>
        </is>
      </c>
      <c r="B338" s="18" t="n">
        <v>0</v>
      </c>
      <c r="C338" s="73" t="n">
        <v>0</v>
      </c>
      <c r="D338" s="73" t="n">
        <v>0</v>
      </c>
      <c r="E338" s="73" t="n">
        <v>0</v>
      </c>
      <c r="F338" s="18" t="n">
        <v>0</v>
      </c>
      <c r="G338" s="20" t="n">
        <v>18</v>
      </c>
      <c r="H338" s="18" t="n">
        <v>0</v>
      </c>
      <c r="I338">
        <f t="array" ref="I338">IFERROR(INDEX($N$5:$N$271,MATCH(TRUE,EXACT(A338,$O$5:$O$271),)),"")</f>
        <v/>
      </c>
      <c r="J338" s="25">
        <f>IF(I338="","",IF(E338="","",G338))</f>
        <v/>
      </c>
      <c r="K338" s="26" t="n"/>
    </row>
    <row r="339">
      <c r="A339" s="15" t="inlineStr">
        <is>
          <t>Dorset Berries Muesli</t>
        </is>
      </c>
      <c r="B339" s="18" t="n">
        <v>0</v>
      </c>
      <c r="C339" s="73" t="n">
        <v>0</v>
      </c>
      <c r="D339" s="73" t="n">
        <v>0</v>
      </c>
      <c r="E339" s="73" t="n">
        <v>0</v>
      </c>
      <c r="F339" s="18" t="n">
        <v>0</v>
      </c>
      <c r="G339" s="20" t="n">
        <v>7</v>
      </c>
      <c r="H339" s="18" t="n">
        <v>0</v>
      </c>
      <c r="I339">
        <f t="array" ref="I339">IFERROR(INDEX($N$5:$N$271,MATCH(TRUE,EXACT(A339,$O$5:$O$271),)),"")</f>
        <v/>
      </c>
      <c r="J339" s="25">
        <f>IF(I339="","",IF(E339="","",G339))</f>
        <v/>
      </c>
      <c r="K339" s="26" t="n"/>
    </row>
    <row r="340">
      <c r="A340" s="15" t="inlineStr">
        <is>
          <t>Dorset High Fibre Muesli</t>
        </is>
      </c>
      <c r="B340" s="18" t="n">
        <v>0</v>
      </c>
      <c r="C340" s="73" t="n">
        <v>0</v>
      </c>
      <c r="D340" s="73" t="n">
        <v>0</v>
      </c>
      <c r="E340" s="73" t="n">
        <v>0</v>
      </c>
      <c r="F340" s="18" t="n">
        <v>0</v>
      </c>
      <c r="G340" s="20" t="n">
        <v>3</v>
      </c>
      <c r="H340" s="18" t="n">
        <v>0</v>
      </c>
      <c r="I340">
        <f t="array" ref="I340">IFERROR(INDEX($N$5:$N$271,MATCH(TRUE,EXACT(A340,$O$5:$O$271),)),"")</f>
        <v/>
      </c>
      <c r="J340" s="25">
        <f>IF(I340="","",IF(E340="","",G340))</f>
        <v/>
      </c>
      <c r="K340" s="26" t="n"/>
    </row>
    <row r="341">
      <c r="A341" s="15" t="inlineStr">
        <is>
          <t>Egg</t>
        </is>
      </c>
      <c r="B341" s="18" t="n">
        <v>0</v>
      </c>
      <c r="C341" s="73" t="n">
        <v>0</v>
      </c>
      <c r="D341" s="73" t="n">
        <v>0</v>
      </c>
      <c r="E341" s="73" t="n">
        <v>0</v>
      </c>
      <c r="F341" s="18" t="n">
        <v>0</v>
      </c>
      <c r="G341" s="20" t="n">
        <v>18</v>
      </c>
      <c r="H341" s="18" t="n">
        <v>0</v>
      </c>
      <c r="I341">
        <f t="array" ref="I341">IFERROR(INDEX($N$5:$N$271,MATCH(TRUE,EXACT(A341,$O$5:$O$271),)),"")</f>
        <v/>
      </c>
      <c r="J341" s="25">
        <f>IF(I341="","",IF(E341="","",G341))</f>
        <v/>
      </c>
      <c r="K341" s="26" t="n"/>
    </row>
    <row r="342">
      <c r="A342" s="15" t="inlineStr">
        <is>
          <t>Egg White Omelette</t>
        </is>
      </c>
      <c r="B342" s="18" t="n">
        <v>0</v>
      </c>
      <c r="C342" s="73" t="n">
        <v>0</v>
      </c>
      <c r="D342" s="73" t="n">
        <v>0</v>
      </c>
      <c r="E342" s="73" t="n">
        <v>0</v>
      </c>
      <c r="F342" s="18" t="n">
        <v>0</v>
      </c>
      <c r="G342" s="20" t="n">
        <v>25</v>
      </c>
      <c r="H342" s="18" t="n">
        <v>0</v>
      </c>
      <c r="I342">
        <f t="array" ref="I342">IFERROR(INDEX($N$5:$N$271,MATCH(TRUE,EXACT(A342,$O$5:$O$271),)),"")</f>
        <v/>
      </c>
      <c r="J342" s="25">
        <f>IF(I342="","",IF(E342="","",G342))</f>
        <v/>
      </c>
      <c r="K342" s="26" t="n"/>
    </row>
    <row r="343">
      <c r="A343" s="15" t="inlineStr">
        <is>
          <t>Egg White Scrambled</t>
        </is>
      </c>
      <c r="B343" s="18" t="n">
        <v>0</v>
      </c>
      <c r="C343" s="73" t="n">
        <v>0</v>
      </c>
      <c r="D343" s="73" t="n">
        <v>0</v>
      </c>
      <c r="E343" s="73" t="n">
        <v>0</v>
      </c>
      <c r="F343" s="18" t="n">
        <v>0</v>
      </c>
      <c r="G343" s="20" t="n">
        <v>4</v>
      </c>
      <c r="H343" s="18" t="n">
        <v>0</v>
      </c>
      <c r="I343">
        <f t="array" ref="I343">IFERROR(INDEX($N$5:$N$271,MATCH(TRUE,EXACT(A343,$O$5:$O$271),)),"")</f>
        <v/>
      </c>
      <c r="J343" s="25">
        <f>IF(I343="","",IF(E343="","",G343))</f>
        <v/>
      </c>
      <c r="K343" s="26" t="n"/>
    </row>
    <row r="344">
      <c r="A344" s="15" t="inlineStr">
        <is>
          <t>EXTRA</t>
        </is>
      </c>
      <c r="B344" s="18" t="n">
        <v>0</v>
      </c>
      <c r="C344" s="73" t="n">
        <v>0</v>
      </c>
      <c r="D344" s="73" t="n">
        <v>0</v>
      </c>
      <c r="E344" s="73" t="n">
        <v>0</v>
      </c>
      <c r="F344" s="18" t="n">
        <v>0</v>
      </c>
      <c r="G344" s="20" t="n">
        <v>7</v>
      </c>
      <c r="H344" s="18" t="n">
        <v>0</v>
      </c>
      <c r="I344">
        <f t="array" ref="I344">IFERROR(INDEX($N$5:$N$271,MATCH(TRUE,EXACT(A344,$O$5:$O$271),)),"")</f>
        <v/>
      </c>
      <c r="J344" s="25">
        <f>IF(I344="","",IF(E344="","",G344))</f>
        <v/>
      </c>
      <c r="K344" s="26" t="n"/>
    </row>
    <row r="345">
      <c r="A345" s="15" t="inlineStr">
        <is>
          <t>Fried Eggs</t>
        </is>
      </c>
      <c r="B345" s="18" t="n">
        <v>0</v>
      </c>
      <c r="C345" s="73" t="n">
        <v>0</v>
      </c>
      <c r="D345" s="73" t="n">
        <v>0</v>
      </c>
      <c r="E345" s="73" t="n">
        <v>0</v>
      </c>
      <c r="F345" s="18" t="n">
        <v>0</v>
      </c>
      <c r="G345" s="20" t="n">
        <v>203</v>
      </c>
      <c r="H345" s="18" t="n">
        <v>0</v>
      </c>
      <c r="I345">
        <f t="array" ref="I345">IFERROR(INDEX($N$5:$N$271,MATCH(TRUE,EXACT(A345,$O$5:$O$271),)),"")</f>
        <v/>
      </c>
      <c r="J345" s="25">
        <f>IF(I345="","",IF(E345="","",G345))</f>
        <v/>
      </c>
      <c r="K345" s="26" t="n"/>
    </row>
    <row r="346">
      <c r="A346" s="15" t="inlineStr">
        <is>
          <t>Fries</t>
        </is>
      </c>
      <c r="B346" s="18" t="n">
        <v>0</v>
      </c>
      <c r="C346" s="73" t="n">
        <v>0</v>
      </c>
      <c r="D346" s="73" t="n">
        <v>0</v>
      </c>
      <c r="E346" s="73" t="n">
        <v>0</v>
      </c>
      <c r="F346" s="18" t="n">
        <v>0</v>
      </c>
      <c r="G346" s="20" t="n">
        <v>2</v>
      </c>
      <c r="H346" s="18" t="n">
        <v>0</v>
      </c>
      <c r="I346">
        <f t="array" ref="I346">IFERROR(INDEX($N$5:$N$271,MATCH(TRUE,EXACT(A346,$O$5:$O$271),)),"")</f>
        <v/>
      </c>
      <c r="J346" s="25">
        <f>IF(I346="","",IF(E346="","",G346))</f>
        <v/>
      </c>
      <c r="K346" s="26" t="n">
        <v>23</v>
      </c>
    </row>
    <row r="347">
      <c r="A347" s="15" t="inlineStr">
        <is>
          <t>Frosties</t>
        </is>
      </c>
      <c r="B347" s="18" t="n">
        <v>0</v>
      </c>
      <c r="C347" s="73" t="n">
        <v>0</v>
      </c>
      <c r="D347" s="73" t="n">
        <v>0</v>
      </c>
      <c r="E347" s="73" t="n">
        <v>0</v>
      </c>
      <c r="F347" s="18" t="n">
        <v>0</v>
      </c>
      <c r="G347" s="20" t="n">
        <v>7</v>
      </c>
      <c r="H347" s="18" t="n">
        <v>0</v>
      </c>
      <c r="I347">
        <f t="array" ref="I347">IFERROR(INDEX($N$5:$N$271,MATCH(TRUE,EXACT(A347,$O$5:$O$271),)),"")</f>
        <v/>
      </c>
      <c r="J347" s="25">
        <f>IF(I347="","",IF(E347="","",G347))</f>
        <v/>
      </c>
      <c r="K347" s="26" t="n"/>
    </row>
    <row r="348">
      <c r="A348" s="15" t="inlineStr">
        <is>
          <t>Fruit Platter</t>
        </is>
      </c>
      <c r="B348" s="18" t="n">
        <v>0</v>
      </c>
      <c r="C348" s="73" t="n">
        <v>0</v>
      </c>
      <c r="D348" s="73" t="n">
        <v>0</v>
      </c>
      <c r="E348" s="73" t="n">
        <v>0</v>
      </c>
      <c r="F348" s="18" t="n">
        <v>0</v>
      </c>
      <c r="G348" s="20" t="n">
        <v>5</v>
      </c>
      <c r="H348" s="18" t="n">
        <v>0</v>
      </c>
      <c r="I348">
        <f t="array" ref="I348">IFERROR(INDEX($N$5:$N$271,MATCH(TRUE,EXACT(A348,$O$5:$O$271),)),"")</f>
        <v/>
      </c>
      <c r="J348" s="25">
        <f>IF(I348="","",IF(E348="","",G348))</f>
        <v/>
      </c>
      <c r="K348" s="26" t="n"/>
    </row>
    <row r="349">
      <c r="A349" s="15" t="inlineStr">
        <is>
          <t>Fruit Salad</t>
        </is>
      </c>
      <c r="B349" s="18" t="n">
        <v>0</v>
      </c>
      <c r="C349" s="73" t="n">
        <v>0</v>
      </c>
      <c r="D349" s="73" t="n">
        <v>0</v>
      </c>
      <c r="E349" s="73" t="n">
        <v>0</v>
      </c>
      <c r="F349" s="18" t="n">
        <v>0</v>
      </c>
      <c r="G349" s="20" t="n">
        <v>28</v>
      </c>
      <c r="H349" s="18" t="n">
        <v>0</v>
      </c>
      <c r="I349">
        <f t="array" ref="I349">IFERROR(INDEX($N$5:$N$271,MATCH(TRUE,EXACT(A349,$O$5:$O$271),)),"")</f>
        <v/>
      </c>
      <c r="J349" s="25">
        <f>IF(I349="","",IF(E349="","",G349))</f>
        <v/>
      </c>
      <c r="K349" s="26" t="n"/>
    </row>
    <row r="350">
      <c r="A350" s="15" t="inlineStr">
        <is>
          <t>Fruit Yoghurt</t>
        </is>
      </c>
      <c r="B350" s="18" t="n">
        <v>0</v>
      </c>
      <c r="C350" s="73" t="n">
        <v>0</v>
      </c>
      <c r="D350" s="73" t="n">
        <v>0</v>
      </c>
      <c r="E350" s="73" t="n">
        <v>0</v>
      </c>
      <c r="F350" s="18" t="n">
        <v>0</v>
      </c>
      <c r="G350" s="20" t="n">
        <v>26</v>
      </c>
      <c r="H350" s="18" t="n">
        <v>0</v>
      </c>
      <c r="I350">
        <f t="array" ref="I350">IFERROR(INDEX($N$5:$N$271,MATCH(TRUE,EXACT(A350,$O$5:$O$271),)),"")</f>
        <v/>
      </c>
      <c r="J350" s="25">
        <f>IF(I350="","",IF(E350="","",G350))</f>
        <v/>
      </c>
      <c r="K350" s="26" t="n"/>
    </row>
    <row r="351">
      <c r="A351" s="15" t="inlineStr">
        <is>
          <t>Full Milk</t>
        </is>
      </c>
      <c r="B351" s="18" t="n">
        <v>0</v>
      </c>
      <c r="C351" s="73" t="n">
        <v>0</v>
      </c>
      <c r="D351" s="73" t="n">
        <v>0</v>
      </c>
      <c r="E351" s="73" t="n">
        <v>0</v>
      </c>
      <c r="F351" s="18" t="n">
        <v>0</v>
      </c>
      <c r="G351" s="20" t="n">
        <v>203</v>
      </c>
      <c r="H351" s="18" t="n">
        <v>0</v>
      </c>
      <c r="I351">
        <f t="array" ref="I351">IFERROR(INDEX($N$5:$N$271,MATCH(TRUE,EXACT(A351,$O$5:$O$271),)),"")</f>
        <v/>
      </c>
      <c r="J351" s="25">
        <f>IF(I351="","",IF(E351="","",G351))</f>
        <v/>
      </c>
      <c r="K351" s="26" t="n"/>
    </row>
    <row r="352">
      <c r="A352" s="15" t="inlineStr">
        <is>
          <t>Full Milk</t>
        </is>
      </c>
      <c r="B352" s="18" t="n">
        <v>0</v>
      </c>
      <c r="C352" s="73" t="n">
        <v>0</v>
      </c>
      <c r="D352" s="73" t="n">
        <v>0</v>
      </c>
      <c r="E352" s="73" t="n">
        <v>0</v>
      </c>
      <c r="F352" s="18" t="n">
        <v>0</v>
      </c>
      <c r="G352" s="20" t="n">
        <v>20</v>
      </c>
      <c r="H352" s="18" t="n">
        <v>0</v>
      </c>
      <c r="I352">
        <f t="array" ref="I352">IFERROR(INDEX($N$5:$N$271,MATCH(TRUE,EXACT(A352,$O$5:$O$271),)),"")</f>
        <v/>
      </c>
      <c r="J352" s="25">
        <f>IF(I352="","",IF(E352="","",G352))</f>
        <v/>
      </c>
      <c r="K352" s="26" t="n"/>
    </row>
    <row r="353">
      <c r="A353" s="15" t="inlineStr">
        <is>
          <t>Gluten Free</t>
        </is>
      </c>
      <c r="B353" s="18" t="n">
        <v>0</v>
      </c>
      <c r="C353" s="73" t="n">
        <v>0</v>
      </c>
      <c r="D353" s="73" t="n">
        <v>0</v>
      </c>
      <c r="E353" s="73" t="n">
        <v>0</v>
      </c>
      <c r="F353" s="18" t="n">
        <v>0</v>
      </c>
      <c r="G353" s="20" t="n">
        <v>2</v>
      </c>
      <c r="H353" s="18" t="n">
        <v>0</v>
      </c>
      <c r="I353">
        <f t="array" ref="I353">IFERROR(INDEX($N$5:$N$271,MATCH(TRUE,EXACT(A353,$O$5:$O$271),)),"")</f>
        <v/>
      </c>
      <c r="J353" s="25">
        <f>IF(I353="","",IF(E353="","",G353))</f>
        <v/>
      </c>
      <c r="K353" s="26" t="n"/>
    </row>
    <row r="354">
      <c r="A354" s="15" t="inlineStr">
        <is>
          <t>Gluten Free</t>
        </is>
      </c>
      <c r="B354" s="18" t="n">
        <v>0</v>
      </c>
      <c r="C354" s="73" t="n">
        <v>0</v>
      </c>
      <c r="D354" s="73" t="n">
        <v>0</v>
      </c>
      <c r="E354" s="73" t="n">
        <v>0</v>
      </c>
      <c r="F354" s="18" t="n">
        <v>0</v>
      </c>
      <c r="G354" s="20" t="n">
        <v>26</v>
      </c>
      <c r="H354" s="18" t="n">
        <v>0</v>
      </c>
      <c r="I354">
        <f t="array" ref="I354">IFERROR(INDEX($N$5:$N$271,MATCH(TRUE,EXACT(A354,$O$5:$O$271),)),"")</f>
        <v/>
      </c>
      <c r="J354" s="25">
        <f>IF(I354="","",IF(E354="","",G354))</f>
        <v/>
      </c>
      <c r="K354" s="26" t="n"/>
    </row>
    <row r="355">
      <c r="A355" s="15" t="inlineStr">
        <is>
          <t>Gluten Free Bread</t>
        </is>
      </c>
      <c r="B355" s="18" t="n">
        <v>0</v>
      </c>
      <c r="C355" s="73" t="n">
        <v>0</v>
      </c>
      <c r="D355" s="73" t="n">
        <v>0</v>
      </c>
      <c r="E355" s="73" t="n">
        <v>0</v>
      </c>
      <c r="F355" s="18" t="n">
        <v>0</v>
      </c>
      <c r="G355" s="20" t="n">
        <v>8</v>
      </c>
      <c r="H355" s="18" t="n">
        <v>0</v>
      </c>
      <c r="I355">
        <f t="array" ref="I355">IFERROR(INDEX($N$5:$N$271,MATCH(TRUE,EXACT(A355,$O$5:$O$271),)),"")</f>
        <v/>
      </c>
      <c r="J355" s="25">
        <f>IF(I355="","",IF(E355="","",G355))</f>
        <v/>
      </c>
      <c r="K355" s="26" t="n"/>
    </row>
    <row r="356">
      <c r="A356" s="15" t="inlineStr">
        <is>
          <t>Granary</t>
        </is>
      </c>
      <c r="B356" s="18" t="n">
        <v>0</v>
      </c>
      <c r="C356" s="73" t="n">
        <v>0</v>
      </c>
      <c r="D356" s="73" t="n">
        <v>0</v>
      </c>
      <c r="E356" s="73" t="n">
        <v>0</v>
      </c>
      <c r="F356" s="18" t="n">
        <v>0</v>
      </c>
      <c r="G356" s="20" t="n">
        <v>21</v>
      </c>
      <c r="H356" s="18" t="n">
        <v>0</v>
      </c>
      <c r="I356">
        <f t="array" ref="I356">IFERROR(INDEX($N$5:$N$271,MATCH(TRUE,EXACT(A356,$O$5:$O$271),)),"")</f>
        <v/>
      </c>
      <c r="J356" s="25">
        <f>IF(I356="","",IF(E356="","",G356))</f>
        <v/>
      </c>
      <c r="K356" s="26" t="n"/>
    </row>
    <row r="357">
      <c r="A357" s="15" t="inlineStr">
        <is>
          <t>Granary Toast</t>
        </is>
      </c>
      <c r="B357" s="18" t="n">
        <v>0</v>
      </c>
      <c r="C357" s="73" t="n">
        <v>0</v>
      </c>
      <c r="D357" s="73" t="n">
        <v>0</v>
      </c>
      <c r="E357" s="73" t="n">
        <v>0</v>
      </c>
      <c r="F357" s="18" t="n">
        <v>0</v>
      </c>
      <c r="G357" s="20" t="n">
        <v>120</v>
      </c>
      <c r="H357" s="18" t="n">
        <v>0</v>
      </c>
      <c r="I357">
        <f t="array" ref="I357">IFERROR(INDEX($N$5:$N$271,MATCH(TRUE,EXACT(A357,$O$5:$O$271),)),"")</f>
        <v/>
      </c>
      <c r="J357" s="25">
        <f>IF(I357="","",IF(E357="","",G357))</f>
        <v/>
      </c>
      <c r="K357" s="26" t="n"/>
    </row>
    <row r="358">
      <c r="A358" s="15" t="inlineStr">
        <is>
          <t>Ham</t>
        </is>
      </c>
      <c r="B358" s="18" t="n">
        <v>0</v>
      </c>
      <c r="C358" s="73" t="n">
        <v>0</v>
      </c>
      <c r="D358" s="73" t="n">
        <v>0</v>
      </c>
      <c r="E358" s="73" t="n">
        <v>0</v>
      </c>
      <c r="F358" s="18" t="n">
        <v>0</v>
      </c>
      <c r="G358" s="20" t="n">
        <v>27</v>
      </c>
      <c r="H358" s="18" t="n">
        <v>0</v>
      </c>
      <c r="I358">
        <f t="array" ref="I358">IFERROR(INDEX($N$5:$N$271,MATCH(TRUE,EXACT(A358,$O$5:$O$271),)),"")</f>
        <v/>
      </c>
      <c r="J358" s="25">
        <f>IF(I358="","",IF(E358="","",G358))</f>
        <v/>
      </c>
      <c r="K358" s="26" t="n"/>
    </row>
    <row r="359">
      <c r="A359" s="15" t="inlineStr">
        <is>
          <t>Ham</t>
        </is>
      </c>
      <c r="B359" s="18" t="n">
        <v>0</v>
      </c>
      <c r="C359" s="73" t="n">
        <v>0</v>
      </c>
      <c r="D359" s="73" t="n">
        <v>0</v>
      </c>
      <c r="E359" s="73" t="n">
        <v>0</v>
      </c>
      <c r="F359" s="18" t="n">
        <v>0</v>
      </c>
      <c r="G359" s="20" t="n">
        <v>10</v>
      </c>
      <c r="H359" s="18" t="n">
        <v>0</v>
      </c>
      <c r="I359">
        <f t="array" ref="I359">IFERROR(INDEX($N$5:$N$271,MATCH(TRUE,EXACT(A359,$O$5:$O$271),)),"")</f>
        <v/>
      </c>
      <c r="J359" s="25">
        <f>IF(I359="","",IF(E359="","",G359))</f>
        <v/>
      </c>
      <c r="K359" s="26" t="n"/>
    </row>
    <row r="360">
      <c r="A360" s="15" t="inlineStr">
        <is>
          <t>Hard</t>
        </is>
      </c>
      <c r="B360" s="18" t="n">
        <v>0</v>
      </c>
      <c r="C360" s="73" t="n">
        <v>0</v>
      </c>
      <c r="D360" s="73" t="n">
        <v>0</v>
      </c>
      <c r="E360" s="73" t="n">
        <v>0</v>
      </c>
      <c r="F360" s="18" t="n">
        <v>0</v>
      </c>
      <c r="G360" s="20" t="n">
        <v>18</v>
      </c>
      <c r="H360" s="18" t="n">
        <v>0</v>
      </c>
      <c r="I360">
        <f t="array" ref="I360">IFERROR(INDEX($N$5:$N$271,MATCH(TRUE,EXACT(A360,$O$5:$O$271),)),"")</f>
        <v/>
      </c>
      <c r="J360" s="25">
        <f>IF(I360="","",IF(E360="","",G360))</f>
        <v/>
      </c>
      <c r="K360" s="26" t="n"/>
    </row>
    <row r="361">
      <c r="A361" s="15" t="inlineStr">
        <is>
          <t>Hash Brown</t>
        </is>
      </c>
      <c r="B361" s="18" t="n">
        <v>0</v>
      </c>
      <c r="C361" s="73" t="n">
        <v>0</v>
      </c>
      <c r="D361" s="73" t="n">
        <v>0</v>
      </c>
      <c r="E361" s="73" t="n">
        <v>0</v>
      </c>
      <c r="F361" s="18" t="n">
        <v>0</v>
      </c>
      <c r="G361" s="20" t="n">
        <v>57</v>
      </c>
      <c r="H361" s="18" t="n">
        <v>0</v>
      </c>
      <c r="I361">
        <f t="array" ref="I361">IFERROR(INDEX($N$5:$N$271,MATCH(TRUE,EXACT(A361,$O$5:$O$271),)),"")</f>
        <v/>
      </c>
      <c r="J361" s="25">
        <f>IF(I361="","",IF(E361="","",G361))</f>
        <v/>
      </c>
      <c r="K361" s="26" t="n"/>
    </row>
    <row r="362">
      <c r="A362" s="15" t="inlineStr">
        <is>
          <t>Herbs</t>
        </is>
      </c>
      <c r="B362" s="18" t="n">
        <v>0</v>
      </c>
      <c r="C362" s="73" t="n">
        <v>0</v>
      </c>
      <c r="D362" s="73" t="n">
        <v>0</v>
      </c>
      <c r="E362" s="73" t="n">
        <v>0</v>
      </c>
      <c r="F362" s="18" t="n">
        <v>0</v>
      </c>
      <c r="G362" s="20" t="n">
        <v>3</v>
      </c>
      <c r="H362" s="18" t="n">
        <v>0</v>
      </c>
      <c r="I362">
        <f t="array" ref="I362">IFERROR(INDEX($N$5:$N$271,MATCH(TRUE,EXACT(A362,$O$5:$O$271),)),"")</f>
        <v/>
      </c>
      <c r="J362" s="25">
        <f>IF(I362="","",IF(E362="","",G362))</f>
        <v/>
      </c>
      <c r="K362" s="26" t="n"/>
    </row>
    <row r="363">
      <c r="A363" s="15" t="inlineStr">
        <is>
          <t>HOLD</t>
        </is>
      </c>
      <c r="B363" s="18" t="n">
        <v>0</v>
      </c>
      <c r="C363" s="73" t="n">
        <v>0</v>
      </c>
      <c r="D363" s="73" t="n">
        <v>0</v>
      </c>
      <c r="E363" s="73" t="n">
        <v>0</v>
      </c>
      <c r="F363" s="18" t="n">
        <v>0</v>
      </c>
      <c r="G363" s="20" t="n">
        <v>2</v>
      </c>
      <c r="H363" s="18" t="n">
        <v>0</v>
      </c>
      <c r="I363">
        <f t="array" ref="I363">IFERROR(INDEX($N$5:$N$271,MATCH(TRUE,EXACT(A363,$O$5:$O$271),)),"")</f>
        <v/>
      </c>
      <c r="J363" s="25">
        <f>IF(I363="","",IF(E363="","",G363))</f>
        <v/>
      </c>
      <c r="K363" s="26" t="n"/>
    </row>
    <row r="364">
      <c r="A364" s="15" t="inlineStr">
        <is>
          <t>Hollandaise</t>
        </is>
      </c>
      <c r="B364" s="18" t="n">
        <v>0</v>
      </c>
      <c r="C364" s="73" t="n">
        <v>0</v>
      </c>
      <c r="D364" s="73" t="n">
        <v>0</v>
      </c>
      <c r="E364" s="73" t="n">
        <v>0</v>
      </c>
      <c r="F364" s="18" t="n">
        <v>0</v>
      </c>
      <c r="G364" s="20" t="n">
        <v>1</v>
      </c>
      <c r="H364" s="18" t="n">
        <v>0</v>
      </c>
      <c r="I364">
        <f t="array" ref="I364">IFERROR(INDEX($N$5:$N$271,MATCH(TRUE,EXACT(A364,$O$5:$O$271),)),"")</f>
        <v/>
      </c>
      <c r="J364" s="25">
        <f>IF(I364="","",IF(E364="","",G364))</f>
        <v/>
      </c>
      <c r="K364" s="26" t="n"/>
    </row>
    <row r="365">
      <c r="A365" s="15" t="inlineStr">
        <is>
          <t>Homemade Granola</t>
        </is>
      </c>
      <c r="B365" s="18" t="n">
        <v>0</v>
      </c>
      <c r="C365" s="73" t="n">
        <v>0</v>
      </c>
      <c r="D365" s="73" t="n">
        <v>0</v>
      </c>
      <c r="E365" s="73" t="n">
        <v>0</v>
      </c>
      <c r="F365" s="18" t="n">
        <v>0</v>
      </c>
      <c r="G365" s="20" t="n">
        <v>33</v>
      </c>
      <c r="H365" s="18" t="n">
        <v>0</v>
      </c>
      <c r="I365">
        <f t="array" ref="I365">IFERROR(INDEX($N$5:$N$271,MATCH(TRUE,EXACT(A365,$O$5:$O$271),)),"")</f>
        <v/>
      </c>
      <c r="J365" s="25">
        <f>IF(I365="","",IF(E365="","",G365))</f>
        <v/>
      </c>
      <c r="K365" s="26" t="n"/>
    </row>
    <row r="366">
      <c r="A366" s="15" t="inlineStr">
        <is>
          <t>Honey</t>
        </is>
      </c>
      <c r="B366" s="18" t="n">
        <v>0</v>
      </c>
      <c r="C366" s="73" t="n">
        <v>0</v>
      </c>
      <c r="D366" s="73" t="n">
        <v>0</v>
      </c>
      <c r="E366" s="73" t="n">
        <v>0</v>
      </c>
      <c r="F366" s="18" t="n">
        <v>0</v>
      </c>
      <c r="G366" s="20" t="n">
        <v>5</v>
      </c>
      <c r="H366" s="18" t="n">
        <v>0</v>
      </c>
      <c r="I366">
        <f t="array" ref="I366">IFERROR(INDEX($N$5:$N$271,MATCH(TRUE,EXACT(A366,$O$5:$O$271),)),"")</f>
        <v/>
      </c>
      <c r="J366" s="25">
        <f>IF(I366="","",IF(E366="","",G366))</f>
        <v/>
      </c>
      <c r="K366" s="26" t="n"/>
    </row>
    <row r="367">
      <c r="A367" s="15" t="inlineStr">
        <is>
          <t>Hot Milk</t>
        </is>
      </c>
      <c r="B367" s="18" t="n">
        <v>0</v>
      </c>
      <c r="C367" s="73" t="n">
        <v>0</v>
      </c>
      <c r="D367" s="73" t="n">
        <v>0</v>
      </c>
      <c r="E367" s="73" t="n">
        <v>0</v>
      </c>
      <c r="F367" s="18" t="n">
        <v>0</v>
      </c>
      <c r="G367" s="20" t="n">
        <v>5</v>
      </c>
      <c r="H367" s="18" t="n">
        <v>0</v>
      </c>
      <c r="I367">
        <f t="array" ref="I367">IFERROR(INDEX($N$5:$N$271,MATCH(TRUE,EXACT(A367,$O$5:$O$271),)),"")</f>
        <v/>
      </c>
      <c r="J367" s="25">
        <f>IF(I367="","",IF(E367="","",G367))</f>
        <v/>
      </c>
      <c r="K367" s="26" t="n"/>
    </row>
    <row r="368">
      <c r="A368" s="15" t="inlineStr">
        <is>
          <t>Hot Milk</t>
        </is>
      </c>
      <c r="B368" s="18" t="n">
        <v>0</v>
      </c>
      <c r="C368" s="73" t="n">
        <v>0</v>
      </c>
      <c r="D368" s="73" t="n">
        <v>0</v>
      </c>
      <c r="E368" s="73" t="n">
        <v>0</v>
      </c>
      <c r="F368" s="18" t="n">
        <v>0</v>
      </c>
      <c r="G368" s="20" t="n">
        <v>530</v>
      </c>
      <c r="H368" s="18" t="n">
        <v>0</v>
      </c>
      <c r="I368">
        <f t="array" ref="I368">IFERROR(INDEX($N$5:$N$271,MATCH(TRUE,EXACT(A368,$O$5:$O$271),)),"")</f>
        <v/>
      </c>
      <c r="J368" s="25">
        <f>IF(I368="","",IF(E368="","",G368))</f>
        <v/>
      </c>
      <c r="K368" s="26" t="n"/>
    </row>
    <row r="369">
      <c r="A369" s="15" t="inlineStr">
        <is>
          <t>Instead</t>
        </is>
      </c>
      <c r="B369" s="18" t="n">
        <v>0</v>
      </c>
      <c r="C369" s="73" t="n">
        <v>0</v>
      </c>
      <c r="D369" s="73" t="n">
        <v>0</v>
      </c>
      <c r="E369" s="73" t="n">
        <v>0</v>
      </c>
      <c r="F369" s="18" t="n">
        <v>0</v>
      </c>
      <c r="G369" s="20" t="n">
        <v>1</v>
      </c>
      <c r="H369" s="18" t="n">
        <v>0</v>
      </c>
      <c r="I369">
        <f t="array" ref="I369">IFERROR(INDEX($N$5:$N$271,MATCH(TRUE,EXACT(A369,$O$5:$O$271),)),"")</f>
        <v/>
      </c>
      <c r="J369" s="25">
        <f>IF(I369="","",IF(E369="","",G369))</f>
        <v/>
      </c>
      <c r="K369" s="26" t="n"/>
    </row>
    <row r="370">
      <c r="A370" s="15" t="inlineStr">
        <is>
          <t>Lemon</t>
        </is>
      </c>
      <c r="B370" s="18" t="n">
        <v>0</v>
      </c>
      <c r="C370" s="73" t="n">
        <v>0</v>
      </c>
      <c r="D370" s="73" t="n">
        <v>0</v>
      </c>
      <c r="E370" s="73" t="n">
        <v>0</v>
      </c>
      <c r="F370" s="18" t="n">
        <v>0</v>
      </c>
      <c r="G370" s="20" t="n">
        <v>1</v>
      </c>
      <c r="H370" s="18" t="n">
        <v>0</v>
      </c>
      <c r="I370">
        <f t="array" ref="I370">IFERROR(INDEX($N$5:$N$271,MATCH(TRUE,EXACT(A370,$O$5:$O$271),)),"")</f>
        <v/>
      </c>
      <c r="J370" s="25">
        <f>IF(I370="","",IF(E370="","",G370))</f>
        <v/>
      </c>
      <c r="K370" s="26" t="n"/>
    </row>
    <row r="371">
      <c r="A371" s="15" t="inlineStr">
        <is>
          <t>Lobster Egg Benedict</t>
        </is>
      </c>
      <c r="B371" s="18" t="n">
        <v>0</v>
      </c>
      <c r="C371" s="73" t="n">
        <v>0</v>
      </c>
      <c r="D371" s="73" t="n">
        <v>0</v>
      </c>
      <c r="E371" s="73" t="n">
        <v>0</v>
      </c>
      <c r="F371" s="18" t="n">
        <v>0</v>
      </c>
      <c r="G371" s="20" t="n">
        <v>4</v>
      </c>
      <c r="H371" s="18" t="n">
        <v>0</v>
      </c>
      <c r="I371">
        <f t="array" ref="I371">IFERROR(INDEX($N$5:$N$271,MATCH(TRUE,EXACT(A371,$O$5:$O$271),)),"")</f>
        <v/>
      </c>
      <c r="J371" s="25">
        <f>IF(I371="","",IF(E371="","",G371))</f>
        <v/>
      </c>
      <c r="K371" s="26" t="n"/>
    </row>
    <row r="372">
      <c r="A372" s="15" t="inlineStr">
        <is>
          <t>Margarita</t>
        </is>
      </c>
      <c r="B372" s="18" t="n">
        <v>0</v>
      </c>
      <c r="C372" s="73" t="n">
        <v>0</v>
      </c>
      <c r="D372" s="73" t="n">
        <v>0</v>
      </c>
      <c r="E372" s="73" t="n">
        <v>0</v>
      </c>
      <c r="F372" s="18" t="n">
        <v>0</v>
      </c>
      <c r="G372" s="20" t="n">
        <v>9</v>
      </c>
      <c r="H372" s="18" t="n">
        <v>0</v>
      </c>
      <c r="I372">
        <f t="array" ref="I372">IFERROR(INDEX($N$5:$N$271,MATCH(TRUE,EXACT(A372,$O$5:$O$271),)),"")</f>
        <v/>
      </c>
      <c r="J372" s="25">
        <f>IF(I372="","",IF(E372="","",G372))</f>
        <v/>
      </c>
      <c r="K372" s="26" t="n"/>
    </row>
    <row r="373">
      <c r="A373" s="15" t="inlineStr">
        <is>
          <t>Mash potato</t>
        </is>
      </c>
      <c r="B373" s="18" t="n">
        <v>0</v>
      </c>
      <c r="C373" s="73" t="n">
        <v>0</v>
      </c>
      <c r="D373" s="73" t="n">
        <v>0</v>
      </c>
      <c r="E373" s="73" t="n">
        <v>0</v>
      </c>
      <c r="F373" s="18" t="n">
        <v>0</v>
      </c>
      <c r="G373" s="20" t="n">
        <v>1</v>
      </c>
      <c r="H373" s="18" t="n">
        <v>0</v>
      </c>
      <c r="I373">
        <f t="array" ref="I373">IFERROR(INDEX($N$5:$N$271,MATCH(TRUE,EXACT(A373,$O$5:$O$271),)),"")</f>
        <v/>
      </c>
      <c r="J373" s="25">
        <f>IF(I373="","",IF(E373="","",G373))</f>
        <v/>
      </c>
      <c r="K373" s="26" t="n"/>
    </row>
    <row r="374">
      <c r="A374" s="15" t="inlineStr">
        <is>
          <t>Medium</t>
        </is>
      </c>
      <c r="B374" s="18" t="n">
        <v>0</v>
      </c>
      <c r="C374" s="73" t="n">
        <v>0</v>
      </c>
      <c r="D374" s="73" t="n">
        <v>0</v>
      </c>
      <c r="E374" s="73" t="n">
        <v>0</v>
      </c>
      <c r="F374" s="18" t="n">
        <v>0</v>
      </c>
      <c r="G374" s="20" t="n">
        <v>76</v>
      </c>
      <c r="H374" s="18" t="n">
        <v>0</v>
      </c>
      <c r="I374">
        <f t="array" ref="I374">IFERROR(INDEX($N$5:$N$271,MATCH(TRUE,EXACT(A374,$O$5:$O$271),)),"")</f>
        <v/>
      </c>
      <c r="J374" s="25">
        <f>IF(I374="","",IF(E374="","",G374))</f>
        <v/>
      </c>
      <c r="K374" s="26" t="n"/>
    </row>
    <row r="375">
      <c r="A375" s="15" t="inlineStr">
        <is>
          <t>Medium</t>
        </is>
      </c>
      <c r="B375" s="18" t="n">
        <v>0</v>
      </c>
      <c r="C375" s="73" t="n">
        <v>0</v>
      </c>
      <c r="D375" s="73" t="n">
        <v>0</v>
      </c>
      <c r="E375" s="73" t="n">
        <v>0</v>
      </c>
      <c r="F375" s="18" t="n">
        <v>0</v>
      </c>
      <c r="G375" s="20" t="n">
        <v>252</v>
      </c>
      <c r="H375" s="18" t="n">
        <v>0</v>
      </c>
      <c r="I375">
        <f t="array" ref="I375">IFERROR(INDEX($N$5:$N$271,MATCH(TRUE,EXACT(A375,$O$5:$O$271),)),"")</f>
        <v/>
      </c>
      <c r="J375" s="25">
        <f>IF(I375="","",IF(E375="","",G375))</f>
        <v/>
      </c>
      <c r="K375" s="26" t="n"/>
    </row>
    <row r="376">
      <c r="A376" s="15" t="inlineStr">
        <is>
          <t>Medium</t>
        </is>
      </c>
      <c r="B376" s="18" t="n">
        <v>0</v>
      </c>
      <c r="C376" s="73" t="n">
        <v>0</v>
      </c>
      <c r="D376" s="73" t="n">
        <v>0</v>
      </c>
      <c r="E376" s="73" t="n">
        <v>0</v>
      </c>
      <c r="F376" s="18" t="n">
        <v>0</v>
      </c>
      <c r="G376" s="20" t="n">
        <v>21</v>
      </c>
      <c r="H376" s="18" t="n">
        <v>0</v>
      </c>
      <c r="I376">
        <f t="array" ref="I376">IFERROR(INDEX($N$5:$N$271,MATCH(TRUE,EXACT(A376,$O$5:$O$271),)),"")</f>
        <v/>
      </c>
      <c r="J376" s="25">
        <f>IF(I376="","",IF(E376="","",G376))</f>
        <v/>
      </c>
      <c r="K376" s="26" t="n"/>
    </row>
    <row r="377">
      <c r="A377" s="15" t="inlineStr">
        <is>
          <t>Medium</t>
        </is>
      </c>
      <c r="B377" s="18" t="n">
        <v>0</v>
      </c>
      <c r="C377" s="73" t="n">
        <v>0</v>
      </c>
      <c r="D377" s="73" t="n">
        <v>0</v>
      </c>
      <c r="E377" s="73" t="n">
        <v>0</v>
      </c>
      <c r="F377" s="18" t="n">
        <v>0</v>
      </c>
      <c r="G377" s="20" t="n">
        <v>4</v>
      </c>
      <c r="H377" s="18" t="n">
        <v>0</v>
      </c>
      <c r="I377">
        <f t="array" ref="I377">IFERROR(INDEX($N$5:$N$271,MATCH(TRUE,EXACT(A377,$O$5:$O$271),)),"")</f>
        <v/>
      </c>
      <c r="J377" s="25">
        <f>IF(I377="","",IF(E377="","",G377))</f>
        <v/>
      </c>
      <c r="K377" s="26" t="n"/>
    </row>
    <row r="378">
      <c r="A378" s="15" t="inlineStr">
        <is>
          <t>Med Rare</t>
        </is>
      </c>
      <c r="B378" s="18" t="n">
        <v>0</v>
      </c>
      <c r="C378" s="73" t="n">
        <v>0</v>
      </c>
      <c r="D378" s="73" t="n">
        <v>0</v>
      </c>
      <c r="E378" s="73" t="n">
        <v>0</v>
      </c>
      <c r="F378" s="18" t="n">
        <v>0</v>
      </c>
      <c r="G378" s="20" t="n">
        <v>13</v>
      </c>
      <c r="H378" s="18" t="n">
        <v>0</v>
      </c>
      <c r="I378">
        <f t="array" ref="I378">IFERROR(INDEX($N$5:$N$271,MATCH(TRUE,EXACT(A378,$O$5:$O$271),)),"")</f>
        <v/>
      </c>
      <c r="J378" s="25">
        <f>IF(I378="","",IF(E378="","",G378))</f>
        <v/>
      </c>
      <c r="K378" s="26" t="n"/>
    </row>
    <row r="379">
      <c r="A379" s="15" t="inlineStr">
        <is>
          <t>Med Well</t>
        </is>
      </c>
      <c r="B379" s="18" t="n">
        <v>0</v>
      </c>
      <c r="C379" s="73" t="n">
        <v>0</v>
      </c>
      <c r="D379" s="73" t="n">
        <v>0</v>
      </c>
      <c r="E379" s="73" t="n">
        <v>0</v>
      </c>
      <c r="F379" s="18" t="n">
        <v>0</v>
      </c>
      <c r="G379" s="20" t="n">
        <v>10</v>
      </c>
      <c r="H379" s="18" t="n">
        <v>0</v>
      </c>
      <c r="I379">
        <f t="array" ref="I379">IFERROR(INDEX($N$5:$N$271,MATCH(TRUE,EXACT(A379,$O$5:$O$271),)),"")</f>
        <v/>
      </c>
      <c r="J379" s="25">
        <f>IF(I379="","",IF(E379="","",G379))</f>
        <v/>
      </c>
      <c r="K379" s="26" t="n"/>
    </row>
    <row r="380">
      <c r="A380" s="15" t="inlineStr">
        <is>
          <t>Mixed Pastries</t>
        </is>
      </c>
      <c r="B380" s="18" t="n">
        <v>0</v>
      </c>
      <c r="C380" s="73" t="n">
        <v>0</v>
      </c>
      <c r="D380" s="73" t="n">
        <v>0</v>
      </c>
      <c r="E380" s="73" t="n">
        <v>0</v>
      </c>
      <c r="F380" s="18" t="n">
        <v>0</v>
      </c>
      <c r="G380" s="20" t="n">
        <v>198</v>
      </c>
      <c r="H380" s="18" t="n">
        <v>0</v>
      </c>
      <c r="I380">
        <f t="array" ref="I380">IFERROR(INDEX($N$5:$N$271,MATCH(TRUE,EXACT(A380,$O$5:$O$271),)),"")</f>
        <v/>
      </c>
      <c r="J380" s="25">
        <f>IF(I380="","",IF(E380="","",G380))</f>
        <v/>
      </c>
      <c r="K380" s="26" t="n"/>
    </row>
    <row r="381">
      <c r="A381" s="15" t="inlineStr">
        <is>
          <t>Mixed Toast</t>
        </is>
      </c>
      <c r="B381" s="18" t="n">
        <v>0</v>
      </c>
      <c r="C381" s="73" t="n">
        <v>0</v>
      </c>
      <c r="D381" s="73" t="n">
        <v>0</v>
      </c>
      <c r="E381" s="73" t="n">
        <v>0</v>
      </c>
      <c r="F381" s="18" t="n">
        <v>0</v>
      </c>
      <c r="G381" s="20" t="n">
        <v>101</v>
      </c>
      <c r="H381" s="18" t="n">
        <v>0</v>
      </c>
      <c r="I381">
        <f t="array" ref="I381">IFERROR(INDEX($N$5:$N$271,MATCH(TRUE,EXACT(A381,$O$5:$O$271),)),"")</f>
        <v/>
      </c>
      <c r="J381" s="25">
        <f>IF(I381="","",IF(E381="","",G381))</f>
        <v/>
      </c>
      <c r="K381" s="26" t="n"/>
    </row>
    <row r="382">
      <c r="A382" s="15" t="inlineStr">
        <is>
          <t>Mixed Toast</t>
        </is>
      </c>
      <c r="B382" s="18" t="n">
        <v>0</v>
      </c>
      <c r="C382" s="73" t="n">
        <v>0</v>
      </c>
      <c r="D382" s="73" t="n">
        <v>0</v>
      </c>
      <c r="E382" s="73" t="n">
        <v>0</v>
      </c>
      <c r="F382" s="18" t="n">
        <v>0</v>
      </c>
      <c r="G382" s="20" t="n">
        <v>10</v>
      </c>
      <c r="H382" s="18" t="n">
        <v>0</v>
      </c>
      <c r="I382">
        <f t="array" ref="I382">IFERROR(INDEX($N$5:$N$271,MATCH(TRUE,EXACT(A382,$O$5:$O$271),)),"")</f>
        <v/>
      </c>
      <c r="J382" s="25">
        <f>IF(I382="","",IF(E382="","",G382))</f>
        <v/>
      </c>
      <c r="K382" s="26" t="n"/>
    </row>
    <row r="383">
      <c r="A383" s="15" t="inlineStr">
        <is>
          <t>Mushroom</t>
        </is>
      </c>
      <c r="B383" s="18" t="n">
        <v>0</v>
      </c>
      <c r="C383" s="73" t="n">
        <v>0</v>
      </c>
      <c r="D383" s="73" t="n">
        <v>0</v>
      </c>
      <c r="E383" s="73" t="n">
        <v>0</v>
      </c>
      <c r="F383" s="18" t="n">
        <v>0</v>
      </c>
      <c r="G383" s="20" t="n">
        <v>110</v>
      </c>
      <c r="H383" s="18" t="n">
        <v>0</v>
      </c>
      <c r="I383">
        <f t="array" ref="I383">IFERROR(INDEX($N$5:$N$271,MATCH(TRUE,EXACT(A383,$O$5:$O$271),)),"")</f>
        <v/>
      </c>
      <c r="J383" s="25">
        <f>IF(I383="","",IF(E383="","",G383))</f>
        <v/>
      </c>
      <c r="K383" s="26" t="n"/>
    </row>
    <row r="384">
      <c r="A384" s="15" t="inlineStr">
        <is>
          <t>Mushroom</t>
        </is>
      </c>
      <c r="B384" s="18" t="n">
        <v>0</v>
      </c>
      <c r="C384" s="73" t="n">
        <v>0</v>
      </c>
      <c r="D384" s="73" t="n">
        <v>0</v>
      </c>
      <c r="E384" s="73" t="n">
        <v>0</v>
      </c>
      <c r="F384" s="18" t="n">
        <v>0</v>
      </c>
      <c r="G384" s="20" t="n">
        <v>23</v>
      </c>
      <c r="H384" s="18" t="n">
        <v>0</v>
      </c>
      <c r="I384">
        <f t="array" ref="I384">IFERROR(INDEX($N$5:$N$271,MATCH(TRUE,EXACT(A384,$O$5:$O$271),)),"")</f>
        <v/>
      </c>
      <c r="J384" s="25">
        <f>IF(I384="","",IF(E384="","",G384))</f>
        <v/>
      </c>
      <c r="K384" s="26" t="n"/>
    </row>
    <row r="385">
      <c r="A385" s="15" t="inlineStr">
        <is>
          <t>Mushroom</t>
        </is>
      </c>
      <c r="B385" s="18" t="n">
        <v>0</v>
      </c>
      <c r="C385" s="73" t="n">
        <v>0</v>
      </c>
      <c r="D385" s="73" t="n">
        <v>0</v>
      </c>
      <c r="E385" s="73" t="n">
        <v>0</v>
      </c>
      <c r="F385" s="18" t="n">
        <v>0</v>
      </c>
      <c r="G385" s="20" t="n">
        <v>1</v>
      </c>
      <c r="H385" s="18" t="n">
        <v>0</v>
      </c>
      <c r="I385">
        <f t="array" ref="I385">IFERROR(INDEX($N$5:$N$271,MATCH(TRUE,EXACT(A385,$O$5:$O$271),)),"")</f>
        <v/>
      </c>
      <c r="J385" s="25">
        <f>IF(I385="","",IF(E385="","",G385))</f>
        <v/>
      </c>
      <c r="K385" s="26" t="n"/>
    </row>
    <row r="386">
      <c r="A386" s="15" t="inlineStr">
        <is>
          <t>Mushroom</t>
        </is>
      </c>
      <c r="B386" s="18" t="n">
        <v>0</v>
      </c>
      <c r="C386" s="73" t="n">
        <v>0</v>
      </c>
      <c r="D386" s="73" t="n">
        <v>0</v>
      </c>
      <c r="E386" s="73" t="n">
        <v>0</v>
      </c>
      <c r="F386" s="18" t="n">
        <v>0</v>
      </c>
      <c r="G386" s="20" t="n">
        <v>28</v>
      </c>
      <c r="H386" s="18" t="n">
        <v>0</v>
      </c>
      <c r="I386">
        <f t="array" ref="I386">IFERROR(INDEX($N$5:$N$271,MATCH(TRUE,EXACT(A386,$O$5:$O$271),)),"")</f>
        <v/>
      </c>
      <c r="J386" s="25">
        <f>IF(I386="","",IF(E386="","",G386))</f>
        <v/>
      </c>
      <c r="K386" s="26" t="n"/>
    </row>
    <row r="387">
      <c r="A387" s="15" t="inlineStr">
        <is>
          <t>NO</t>
        </is>
      </c>
      <c r="B387" s="18" t="n">
        <v>0</v>
      </c>
      <c r="C387" s="73" t="n">
        <v>0</v>
      </c>
      <c r="D387" s="73" t="n">
        <v>0</v>
      </c>
      <c r="E387" s="73" t="n">
        <v>0</v>
      </c>
      <c r="F387" s="18" t="n">
        <v>0</v>
      </c>
      <c r="G387" s="20" t="n">
        <v>39</v>
      </c>
      <c r="H387" s="18" t="n">
        <v>0</v>
      </c>
      <c r="I387">
        <f t="array" ref="I387">IFERROR(INDEX($N$5:$N$271,MATCH(TRUE,EXACT(A387,$O$5:$O$271),)),"")</f>
        <v/>
      </c>
      <c r="J387" s="25">
        <f>IF(I387="","",IF(E387="","",G387))</f>
        <v/>
      </c>
      <c r="K387" s="26" t="n"/>
    </row>
    <row r="388">
      <c r="A388" s="15" t="inlineStr">
        <is>
          <t>No Bacon</t>
        </is>
      </c>
      <c r="B388" s="18" t="n">
        <v>0</v>
      </c>
      <c r="C388" s="73" t="n">
        <v>0</v>
      </c>
      <c r="D388" s="73" t="n">
        <v>0</v>
      </c>
      <c r="E388" s="73" t="n">
        <v>0</v>
      </c>
      <c r="F388" s="18" t="n">
        <v>0</v>
      </c>
      <c r="G388" s="20" t="n">
        <v>57</v>
      </c>
      <c r="H388" s="18" t="n">
        <v>0</v>
      </c>
      <c r="I388">
        <f t="array" ref="I388">IFERROR(INDEX($N$5:$N$271,MATCH(TRUE,EXACT(A388,$O$5:$O$271),)),"")</f>
        <v/>
      </c>
      <c r="J388" s="25">
        <f>IF(I388="","",IF(E388="","",G388))</f>
        <v/>
      </c>
      <c r="K388" s="26" t="n"/>
    </row>
    <row r="389">
      <c r="A389" s="15" t="inlineStr">
        <is>
          <t>No Cereal</t>
        </is>
      </c>
      <c r="B389" s="18" t="n">
        <v>0</v>
      </c>
      <c r="C389" s="73" t="n">
        <v>0</v>
      </c>
      <c r="D389" s="73" t="n">
        <v>0</v>
      </c>
      <c r="E389" s="73" t="n">
        <v>0</v>
      </c>
      <c r="F389" s="18" t="n">
        <v>0</v>
      </c>
      <c r="G389" s="20" t="n">
        <v>7</v>
      </c>
      <c r="H389" s="18" t="n">
        <v>0</v>
      </c>
      <c r="I389">
        <f t="array" ref="I389">IFERROR(INDEX($N$5:$N$271,MATCH(TRUE,EXACT(A389,$O$5:$O$271),)),"")</f>
        <v/>
      </c>
      <c r="J389" s="25">
        <f>IF(I389="","",IF(E389="","",G389))</f>
        <v/>
      </c>
      <c r="K389" s="26" t="n"/>
    </row>
    <row r="390">
      <c r="A390" s="15" t="inlineStr">
        <is>
          <t>No Cheese</t>
        </is>
      </c>
      <c r="B390" s="18" t="n">
        <v>0</v>
      </c>
      <c r="C390" s="73" t="n">
        <v>0</v>
      </c>
      <c r="D390" s="73" t="n">
        <v>0</v>
      </c>
      <c r="E390" s="73" t="n">
        <v>0</v>
      </c>
      <c r="F390" s="18" t="n">
        <v>0</v>
      </c>
      <c r="G390" s="20" t="n">
        <v>30</v>
      </c>
      <c r="H390" s="18" t="n">
        <v>0</v>
      </c>
      <c r="I390">
        <f t="array" ref="I390">IFERROR(INDEX($N$5:$N$271,MATCH(TRUE,EXACT(A390,$O$5:$O$271),)),"")</f>
        <v/>
      </c>
      <c r="J390" s="25">
        <f>IF(I390="","",IF(E390="","",G390))</f>
        <v/>
      </c>
      <c r="K390" s="26" t="n"/>
    </row>
    <row r="391">
      <c r="A391" s="15" t="inlineStr">
        <is>
          <t>No Egg</t>
        </is>
      </c>
      <c r="B391" s="18" t="n">
        <v>0</v>
      </c>
      <c r="C391" s="73" t="n">
        <v>0</v>
      </c>
      <c r="D391" s="73" t="n">
        <v>0</v>
      </c>
      <c r="E391" s="73" t="n">
        <v>0</v>
      </c>
      <c r="F391" s="18" t="n">
        <v>0</v>
      </c>
      <c r="G391" s="20" t="n">
        <v>88</v>
      </c>
      <c r="H391" s="18" t="n">
        <v>0</v>
      </c>
      <c r="I391">
        <f t="array" ref="I391">IFERROR(INDEX($N$5:$N$271,MATCH(TRUE,EXACT(A391,$O$5:$O$271),)),"")</f>
        <v/>
      </c>
      <c r="J391" s="25">
        <f>IF(I391="","",IF(E391="","",G391))</f>
        <v/>
      </c>
      <c r="K391" s="26" t="n"/>
    </row>
    <row r="392">
      <c r="A392" s="15" t="inlineStr">
        <is>
          <t>NO EGG</t>
        </is>
      </c>
      <c r="B392" s="18" t="n">
        <v>0</v>
      </c>
      <c r="C392" s="73" t="n">
        <v>0</v>
      </c>
      <c r="D392" s="73" t="n">
        <v>0</v>
      </c>
      <c r="E392" s="73" t="n">
        <v>0</v>
      </c>
      <c r="F392" s="18" t="n">
        <v>0</v>
      </c>
      <c r="G392" s="20" t="n">
        <v>9</v>
      </c>
      <c r="H392" s="18" t="n">
        <v>0</v>
      </c>
      <c r="I392">
        <f t="array" ref="I392">IFERROR(INDEX($N$5:$N$271,MATCH(TRUE,EXACT(A392,$O$5:$O$271),)),"")</f>
        <v/>
      </c>
      <c r="J392" s="25">
        <f>IF(I392="","",IF(E392="","",G392))</f>
        <v/>
      </c>
      <c r="K392" s="26" t="n"/>
    </row>
    <row r="393">
      <c r="A393" s="15" t="inlineStr">
        <is>
          <t>NO EGG</t>
        </is>
      </c>
      <c r="B393" s="18" t="n">
        <v>0</v>
      </c>
      <c r="C393" s="73" t="n">
        <v>0</v>
      </c>
      <c r="D393" s="73" t="n">
        <v>0</v>
      </c>
      <c r="E393" s="73" t="n">
        <v>0</v>
      </c>
      <c r="F393" s="18" t="n">
        <v>0</v>
      </c>
      <c r="G393" s="20" t="n">
        <v>4</v>
      </c>
      <c r="H393" s="18" t="n">
        <v>0</v>
      </c>
      <c r="I393">
        <f t="array" ref="I393">IFERROR(INDEX($N$5:$N$271,MATCH(TRUE,EXACT(A393,$O$5:$O$271),)),"")</f>
        <v/>
      </c>
      <c r="J393" s="25">
        <f>IF(I393="","",IF(E393="","",G393))</f>
        <v/>
      </c>
      <c r="K393" s="26" t="n"/>
    </row>
    <row r="394">
      <c r="A394" s="15" t="inlineStr">
        <is>
          <t>No Fruit</t>
        </is>
      </c>
      <c r="B394" s="18" t="n">
        <v>0</v>
      </c>
      <c r="C394" s="73" t="n">
        <v>0</v>
      </c>
      <c r="D394" s="73" t="n">
        <v>0</v>
      </c>
      <c r="E394" s="73" t="n">
        <v>0</v>
      </c>
      <c r="F394" s="18" t="n">
        <v>0</v>
      </c>
      <c r="G394" s="20" t="n">
        <v>14</v>
      </c>
      <c r="H394" s="18" t="n">
        <v>0</v>
      </c>
      <c r="I394">
        <f t="array" ref="I394">IFERROR(INDEX($N$5:$N$271,MATCH(TRUE,EXACT(A394,$O$5:$O$271),)),"")</f>
        <v/>
      </c>
      <c r="J394" s="25">
        <f>IF(I394="","",IF(E394="","",G394))</f>
        <v/>
      </c>
      <c r="K394" s="26" t="n"/>
    </row>
    <row r="395">
      <c r="A395" s="15" t="inlineStr">
        <is>
          <t>No Hot Bev</t>
        </is>
      </c>
      <c r="B395" s="18" t="n">
        <v>0</v>
      </c>
      <c r="C395" s="73" t="n">
        <v>0</v>
      </c>
      <c r="D395" s="73" t="n">
        <v>0</v>
      </c>
      <c r="E395" s="73" t="n">
        <v>0</v>
      </c>
      <c r="F395" s="18" t="n">
        <v>0</v>
      </c>
      <c r="G395" s="20" t="n">
        <v>14</v>
      </c>
      <c r="H395" s="18" t="n">
        <v>0</v>
      </c>
      <c r="I395">
        <f t="array" ref="I395">IFERROR(INDEX($N$5:$N$271,MATCH(TRUE,EXACT(A395,$O$5:$O$271),)),"")</f>
        <v/>
      </c>
      <c r="J395" s="25">
        <f>IF(I395="","",IF(E395="","",G395))</f>
        <v/>
      </c>
      <c r="K395" s="26" t="n"/>
    </row>
    <row r="396">
      <c r="A396" s="15" t="inlineStr">
        <is>
          <t>NO Hot Items</t>
        </is>
      </c>
      <c r="B396" s="18" t="n">
        <v>0</v>
      </c>
      <c r="C396" s="73" t="n">
        <v>0</v>
      </c>
      <c r="D396" s="73" t="n">
        <v>0</v>
      </c>
      <c r="E396" s="73" t="n">
        <v>0</v>
      </c>
      <c r="F396" s="18" t="n">
        <v>0</v>
      </c>
      <c r="G396" s="20" t="n">
        <v>21</v>
      </c>
      <c r="H396" s="18" t="n">
        <v>0</v>
      </c>
      <c r="I396">
        <f t="array" ref="I396">IFERROR(INDEX($N$5:$N$271,MATCH(TRUE,EXACT(A396,$O$5:$O$271),)),"")</f>
        <v/>
      </c>
      <c r="J396" s="25">
        <f>IF(I396="","",IF(E396="","",G396))</f>
        <v/>
      </c>
      <c r="K396" s="26" t="n"/>
    </row>
    <row r="397">
      <c r="A397" s="15" t="inlineStr">
        <is>
          <t>No Juice</t>
        </is>
      </c>
      <c r="B397" s="18" t="n">
        <v>0</v>
      </c>
      <c r="C397" s="73" t="n">
        <v>0</v>
      </c>
      <c r="D397" s="73" t="n">
        <v>0</v>
      </c>
      <c r="E397" s="73" t="n">
        <v>0</v>
      </c>
      <c r="F397" s="18" t="n">
        <v>0</v>
      </c>
      <c r="G397" s="20" t="n">
        <v>20</v>
      </c>
      <c r="H397" s="18" t="n">
        <v>0</v>
      </c>
      <c r="I397">
        <f t="array" ref="I397">IFERROR(INDEX($N$5:$N$271,MATCH(TRUE,EXACT(A397,$O$5:$O$271),)),"")</f>
        <v/>
      </c>
      <c r="J397" s="25">
        <f>IF(I397="","",IF(E397="","",G397))</f>
        <v/>
      </c>
      <c r="K397" s="26" t="n"/>
    </row>
    <row r="398">
      <c r="A398" s="15" t="inlineStr">
        <is>
          <t>No Milk</t>
        </is>
      </c>
      <c r="B398" s="18" t="n">
        <v>0</v>
      </c>
      <c r="C398" s="73" t="n">
        <v>0</v>
      </c>
      <c r="D398" s="73" t="n">
        <v>0</v>
      </c>
      <c r="E398" s="73" t="n">
        <v>0</v>
      </c>
      <c r="F398" s="18" t="n">
        <v>0</v>
      </c>
      <c r="G398" s="20" t="n">
        <v>6</v>
      </c>
      <c r="H398" s="18" t="n">
        <v>0</v>
      </c>
      <c r="I398">
        <f t="array" ref="I398">IFERROR(INDEX($N$5:$N$271,MATCH(TRUE,EXACT(A398,$O$5:$O$271),)),"")</f>
        <v/>
      </c>
      <c r="J398" s="25">
        <f>IF(I398="","",IF(E398="","",G398))</f>
        <v/>
      </c>
      <c r="K398" s="26" t="n"/>
    </row>
    <row r="399">
      <c r="A399" s="15" t="inlineStr">
        <is>
          <t>No Milk</t>
        </is>
      </c>
      <c r="B399" s="18" t="n">
        <v>0</v>
      </c>
      <c r="C399" s="73" t="n">
        <v>0</v>
      </c>
      <c r="D399" s="73" t="n">
        <v>0</v>
      </c>
      <c r="E399" s="73" t="n">
        <v>0</v>
      </c>
      <c r="F399" s="18" t="n">
        <v>0</v>
      </c>
      <c r="G399" s="20" t="n">
        <v>207</v>
      </c>
      <c r="H399" s="18" t="n">
        <v>0</v>
      </c>
      <c r="I399">
        <f t="array" ref="I399">IFERROR(INDEX($N$5:$N$271,MATCH(TRUE,EXACT(A399,$O$5:$O$271),)),"")</f>
        <v/>
      </c>
      <c r="J399" s="25">
        <f>IF(I399="","",IF(E399="","",G399))</f>
        <v/>
      </c>
      <c r="K399" s="26" t="n"/>
    </row>
    <row r="400">
      <c r="A400" s="15" t="inlineStr">
        <is>
          <t>NO Pastries</t>
        </is>
      </c>
      <c r="B400" s="18" t="n">
        <v>0</v>
      </c>
      <c r="C400" s="73" t="n">
        <v>0</v>
      </c>
      <c r="D400" s="73" t="n">
        <v>0</v>
      </c>
      <c r="E400" s="73" t="n">
        <v>0</v>
      </c>
      <c r="F400" s="18" t="n">
        <v>0</v>
      </c>
      <c r="G400" s="20" t="n">
        <v>153</v>
      </c>
      <c r="H400" s="18" t="n">
        <v>0</v>
      </c>
      <c r="I400">
        <f t="array" ref="I400">IFERROR(INDEX($N$5:$N$271,MATCH(TRUE,EXACT(A400,$O$5:$O$271),)),"")</f>
        <v/>
      </c>
      <c r="J400" s="25">
        <f>IF(I400="","",IF(E400="","",G400))</f>
        <v/>
      </c>
      <c r="K400" s="26" t="n"/>
    </row>
    <row r="401">
      <c r="A401" s="15" t="inlineStr">
        <is>
          <t>Normal</t>
        </is>
      </c>
      <c r="B401" s="18" t="n">
        <v>0</v>
      </c>
      <c r="C401" s="73" t="n">
        <v>0</v>
      </c>
      <c r="D401" s="73" t="n">
        <v>0</v>
      </c>
      <c r="E401" s="73" t="n">
        <v>0</v>
      </c>
      <c r="F401" s="18" t="n">
        <v>0</v>
      </c>
      <c r="G401" s="20" t="n">
        <v>6</v>
      </c>
      <c r="H401" s="18" t="n">
        <v>0</v>
      </c>
      <c r="I401">
        <f t="array" ref="I401">IFERROR(INDEX($N$5:$N$271,MATCH(TRUE,EXACT(A401,$O$5:$O$271),)),"")</f>
        <v/>
      </c>
      <c r="J401" s="25">
        <f>IF(I401="","",IF(E401="","",G401))</f>
        <v/>
      </c>
      <c r="K401" s="26" t="n"/>
    </row>
    <row r="402">
      <c r="A402" s="15" t="inlineStr">
        <is>
          <t>Normal</t>
        </is>
      </c>
      <c r="B402" s="18" t="n">
        <v>0</v>
      </c>
      <c r="C402" s="73" t="n">
        <v>0</v>
      </c>
      <c r="D402" s="73" t="n">
        <v>0</v>
      </c>
      <c r="E402" s="73" t="n">
        <v>0</v>
      </c>
      <c r="F402" s="18" t="n">
        <v>0</v>
      </c>
      <c r="G402" s="20" t="n">
        <v>103</v>
      </c>
      <c r="H402" s="18" t="n">
        <v>0</v>
      </c>
      <c r="I402">
        <f t="array" ref="I402">IFERROR(INDEX($N$5:$N$271,MATCH(TRUE,EXACT(A402,$O$5:$O$271),)),"")</f>
        <v/>
      </c>
      <c r="J402" s="25">
        <f>IF(I402="","",IF(E402="","",G402))</f>
        <v/>
      </c>
      <c r="K402" s="26" t="n"/>
    </row>
    <row r="403">
      <c r="A403" s="15" t="inlineStr">
        <is>
          <t>No Sauce</t>
        </is>
      </c>
      <c r="B403" s="18" t="n">
        <v>0</v>
      </c>
      <c r="C403" s="73" t="n">
        <v>0</v>
      </c>
      <c r="D403" s="73" t="n">
        <v>0</v>
      </c>
      <c r="E403" s="73" t="n">
        <v>0</v>
      </c>
      <c r="F403" s="18" t="n">
        <v>0</v>
      </c>
      <c r="G403" s="20" t="n">
        <v>33</v>
      </c>
      <c r="H403" s="18" t="n">
        <v>0</v>
      </c>
      <c r="I403">
        <f t="array" ref="I403">IFERROR(INDEX($N$5:$N$271,MATCH(TRUE,EXACT(A403,$O$5:$O$271),)),"")</f>
        <v/>
      </c>
      <c r="J403" s="25">
        <f>IF(I403="","",IF(E403="","",G403))</f>
        <v/>
      </c>
      <c r="K403" s="26" t="n"/>
    </row>
    <row r="404">
      <c r="A404" s="15" t="inlineStr">
        <is>
          <t>No Shake</t>
        </is>
      </c>
      <c r="B404" s="18" t="n">
        <v>0</v>
      </c>
      <c r="C404" s="73" t="n">
        <v>0</v>
      </c>
      <c r="D404" s="73" t="n">
        <v>0</v>
      </c>
      <c r="E404" s="73" t="n">
        <v>0</v>
      </c>
      <c r="F404" s="18" t="n">
        <v>0</v>
      </c>
      <c r="G404" s="20" t="n">
        <v>2</v>
      </c>
      <c r="H404" s="18" t="n">
        <v>0</v>
      </c>
      <c r="I404">
        <f t="array" ref="I404">IFERROR(INDEX($N$5:$N$271,MATCH(TRUE,EXACT(A404,$O$5:$O$271),)),"")</f>
        <v/>
      </c>
      <c r="J404" s="25">
        <f>IF(I404="","",IF(E404="","",G404))</f>
        <v/>
      </c>
      <c r="K404" s="26" t="n"/>
    </row>
    <row r="405">
      <c r="A405" s="15" t="inlineStr">
        <is>
          <t>No Toast</t>
        </is>
      </c>
      <c r="B405" s="18" t="n">
        <v>0</v>
      </c>
      <c r="C405" s="73" t="n">
        <v>0</v>
      </c>
      <c r="D405" s="73" t="n">
        <v>0</v>
      </c>
      <c r="E405" s="73" t="n">
        <v>0</v>
      </c>
      <c r="F405" s="18" t="n">
        <v>0</v>
      </c>
      <c r="G405" s="20" t="n">
        <v>43</v>
      </c>
      <c r="H405" s="18" t="n">
        <v>0</v>
      </c>
      <c r="I405">
        <f t="array" ref="I405">IFERROR(INDEX($N$5:$N$271,MATCH(TRUE,EXACT(A405,$O$5:$O$271),)),"")</f>
        <v/>
      </c>
      <c r="J405" s="25">
        <f>IF(I405="","",IF(E405="","",G405))</f>
        <v/>
      </c>
      <c r="K405" s="26" t="n"/>
    </row>
    <row r="406">
      <c r="A406" s="15" t="inlineStr">
        <is>
          <t>No Yoghurt</t>
        </is>
      </c>
      <c r="B406" s="18" t="n">
        <v>0</v>
      </c>
      <c r="C406" s="73" t="n">
        <v>0</v>
      </c>
      <c r="D406" s="73" t="n">
        <v>0</v>
      </c>
      <c r="E406" s="73" t="n">
        <v>0</v>
      </c>
      <c r="F406" s="18" t="n">
        <v>0</v>
      </c>
      <c r="G406" s="20" t="n">
        <v>12</v>
      </c>
      <c r="H406" s="18" t="n">
        <v>0</v>
      </c>
      <c r="I406">
        <f t="array" ref="I406">IFERROR(INDEX($N$5:$N$271,MATCH(TRUE,EXACT(A406,$O$5:$O$271),)),"")</f>
        <v/>
      </c>
      <c r="J406" s="25">
        <f>IF(I406="","",IF(E406="","",G406))</f>
        <v/>
      </c>
      <c r="K406" s="26" t="n"/>
    </row>
    <row r="407">
      <c r="A407" s="15" t="inlineStr">
        <is>
          <t>Oat Milk</t>
        </is>
      </c>
      <c r="B407" s="18" t="n">
        <v>0</v>
      </c>
      <c r="C407" s="73" t="n">
        <v>0</v>
      </c>
      <c r="D407" s="73" t="n">
        <v>0</v>
      </c>
      <c r="E407" s="73" t="n">
        <v>0</v>
      </c>
      <c r="F407" s="18" t="n">
        <v>0</v>
      </c>
      <c r="G407" s="20" t="n">
        <v>101</v>
      </c>
      <c r="H407" s="18" t="n">
        <v>0</v>
      </c>
      <c r="I407">
        <f t="array" ref="I407">IFERROR(INDEX($N$5:$N$271,MATCH(TRUE,EXACT(A407,$O$5:$O$271),)),"")</f>
        <v/>
      </c>
      <c r="J407" s="25">
        <f>IF(I407="","",IF(E407="","",G407))</f>
        <v/>
      </c>
      <c r="K407" s="26" t="n"/>
    </row>
    <row r="408">
      <c r="A408" s="15" t="inlineStr">
        <is>
          <t>Oat Milk</t>
        </is>
      </c>
      <c r="B408" s="18" t="n">
        <v>0</v>
      </c>
      <c r="C408" s="73" t="n">
        <v>0</v>
      </c>
      <c r="D408" s="73" t="n">
        <v>0</v>
      </c>
      <c r="E408" s="73" t="n">
        <v>0</v>
      </c>
      <c r="F408" s="18" t="n">
        <v>0</v>
      </c>
      <c r="G408" s="20" t="n">
        <v>2</v>
      </c>
      <c r="H408" s="18" t="n">
        <v>0</v>
      </c>
      <c r="I408">
        <f t="array" ref="I408">IFERROR(INDEX($N$5:$N$271,MATCH(TRUE,EXACT(A408,$O$5:$O$271),)),"")</f>
        <v/>
      </c>
      <c r="J408" s="25">
        <f>IF(I408="","",IF(E408="","",G408))</f>
        <v/>
      </c>
      <c r="K408" s="26" t="n"/>
    </row>
    <row r="409">
      <c r="A409" s="15" t="inlineStr">
        <is>
          <t>Omelette</t>
        </is>
      </c>
      <c r="B409" s="18" t="n">
        <v>0</v>
      </c>
      <c r="C409" s="73" t="n">
        <v>0</v>
      </c>
      <c r="D409" s="73" t="n">
        <v>0</v>
      </c>
      <c r="E409" s="73" t="n">
        <v>0</v>
      </c>
      <c r="F409" s="18" t="n">
        <v>0</v>
      </c>
      <c r="G409" s="20" t="n">
        <v>56</v>
      </c>
      <c r="H409" s="18" t="n">
        <v>0</v>
      </c>
      <c r="I409">
        <f t="array" ref="I409">IFERROR(INDEX($N$5:$N$271,MATCH(TRUE,EXACT(A409,$O$5:$O$271),)),"")</f>
        <v/>
      </c>
      <c r="J409" s="25">
        <f>IF(I409="","",IF(E409="","",G409))</f>
        <v/>
      </c>
      <c r="K409" s="26" t="n"/>
    </row>
    <row r="410">
      <c r="A410" s="15" t="inlineStr">
        <is>
          <t>Onion</t>
        </is>
      </c>
      <c r="B410" s="18" t="n">
        <v>0</v>
      </c>
      <c r="C410" s="73" t="n">
        <v>0</v>
      </c>
      <c r="D410" s="73" t="n">
        <v>0</v>
      </c>
      <c r="E410" s="73" t="n">
        <v>0</v>
      </c>
      <c r="F410" s="18" t="n">
        <v>0</v>
      </c>
      <c r="G410" s="20" t="n">
        <v>5</v>
      </c>
      <c r="H410" s="18" t="n">
        <v>0</v>
      </c>
      <c r="I410">
        <f t="array" ref="I410">IFERROR(INDEX($N$5:$N$271,MATCH(TRUE,EXACT(A410,$O$5:$O$271),)),"")</f>
        <v/>
      </c>
      <c r="J410" s="25">
        <f>IF(I410="","",IF(E410="","",G410))</f>
        <v/>
      </c>
      <c r="K410" s="26" t="n"/>
    </row>
    <row r="411">
      <c r="A411" s="15" t="inlineStr">
        <is>
          <t>Onions</t>
        </is>
      </c>
      <c r="B411" s="18" t="n">
        <v>0</v>
      </c>
      <c r="C411" s="73" t="n">
        <v>0</v>
      </c>
      <c r="D411" s="73" t="n">
        <v>0</v>
      </c>
      <c r="E411" s="73" t="n">
        <v>0</v>
      </c>
      <c r="F411" s="18" t="n">
        <v>0</v>
      </c>
      <c r="G411" s="20" t="n">
        <v>19</v>
      </c>
      <c r="H411" s="18" t="n">
        <v>0</v>
      </c>
      <c r="I411">
        <f t="array" ref="I411">IFERROR(INDEX($N$5:$N$271,MATCH(TRUE,EXACT(A411,$O$5:$O$271),)),"")</f>
        <v/>
      </c>
      <c r="J411" s="25">
        <f>IF(I411="","",IF(E411="","",G411))</f>
        <v/>
      </c>
      <c r="K411" s="26" t="n"/>
    </row>
    <row r="412">
      <c r="A412" s="15" t="inlineStr">
        <is>
          <t>Onions</t>
        </is>
      </c>
      <c r="B412" s="18" t="n">
        <v>0</v>
      </c>
      <c r="C412" s="73" t="n">
        <v>0</v>
      </c>
      <c r="D412" s="73" t="n">
        <v>0</v>
      </c>
      <c r="E412" s="73" t="n">
        <v>0</v>
      </c>
      <c r="F412" s="18" t="n">
        <v>0</v>
      </c>
      <c r="G412" s="20" t="n">
        <v>4</v>
      </c>
      <c r="H412" s="18" t="n">
        <v>0</v>
      </c>
      <c r="I412">
        <f t="array" ref="I412">IFERROR(INDEX($N$5:$N$271,MATCH(TRUE,EXACT(A412,$O$5:$O$271),)),"")</f>
        <v/>
      </c>
      <c r="J412" s="25">
        <f>IF(I412="","",IF(E412="","",G412))</f>
        <v/>
      </c>
      <c r="K412" s="26" t="n"/>
    </row>
    <row r="413">
      <c r="A413" s="15" t="inlineStr">
        <is>
          <t>On the Side</t>
        </is>
      </c>
      <c r="B413" s="18" t="n">
        <v>0</v>
      </c>
      <c r="C413" s="73" t="n">
        <v>0</v>
      </c>
      <c r="D413" s="73" t="n">
        <v>0</v>
      </c>
      <c r="E413" s="73" t="n">
        <v>0</v>
      </c>
      <c r="F413" s="18" t="n">
        <v>0</v>
      </c>
      <c r="G413" s="20" t="n">
        <v>19</v>
      </c>
      <c r="H413" s="18" t="n">
        <v>0</v>
      </c>
      <c r="I413">
        <f t="array" ref="I413">IFERROR(INDEX($N$5:$N$271,MATCH(TRUE,EXACT(A413,$O$5:$O$271),)),"")</f>
        <v/>
      </c>
      <c r="J413" s="25">
        <f>IF(I413="","",IF(E413="","",G413))</f>
        <v/>
      </c>
      <c r="K413" s="26" t="n"/>
    </row>
    <row r="414">
      <c r="A414" s="15" t="inlineStr">
        <is>
          <t>Over Easy</t>
        </is>
      </c>
      <c r="B414" s="18" t="n">
        <v>0</v>
      </c>
      <c r="C414" s="73" t="n">
        <v>0</v>
      </c>
      <c r="D414" s="73" t="n">
        <v>0</v>
      </c>
      <c r="E414" s="73" t="n">
        <v>0</v>
      </c>
      <c r="F414" s="18" t="n">
        <v>0</v>
      </c>
      <c r="G414" s="20" t="n">
        <v>13</v>
      </c>
      <c r="H414" s="18" t="n">
        <v>0</v>
      </c>
      <c r="I414">
        <f t="array" ref="I414">IFERROR(INDEX($N$5:$N$271,MATCH(TRUE,EXACT(A414,$O$5:$O$271),)),"")</f>
        <v/>
      </c>
      <c r="J414" s="25">
        <f>IF(I414="","",IF(E414="","",G414))</f>
        <v/>
      </c>
      <c r="K414" s="26" t="n"/>
    </row>
    <row r="415">
      <c r="A415" s="15" t="inlineStr">
        <is>
          <t>Over Medium</t>
        </is>
      </c>
      <c r="B415" s="18" t="n">
        <v>0</v>
      </c>
      <c r="C415" s="73" t="n">
        <v>0</v>
      </c>
      <c r="D415" s="73" t="n">
        <v>0</v>
      </c>
      <c r="E415" s="73" t="n">
        <v>0</v>
      </c>
      <c r="F415" s="18" t="n">
        <v>0</v>
      </c>
      <c r="G415" s="20" t="n">
        <v>8</v>
      </c>
      <c r="H415" s="18" t="n">
        <v>0</v>
      </c>
      <c r="I415">
        <f t="array" ref="I415">IFERROR(INDEX($N$5:$N$271,MATCH(TRUE,EXACT(A415,$O$5:$O$271),)),"")</f>
        <v/>
      </c>
      <c r="J415" s="25">
        <f>IF(I415="","",IF(E415="","",G415))</f>
        <v/>
      </c>
      <c r="K415" s="26" t="n"/>
    </row>
    <row r="416">
      <c r="A416" s="15" t="inlineStr">
        <is>
          <t>Pastries</t>
        </is>
      </c>
      <c r="B416" s="18" t="n">
        <v>0</v>
      </c>
      <c r="C416" s="73" t="n">
        <v>0</v>
      </c>
      <c r="D416" s="73" t="n">
        <v>0</v>
      </c>
      <c r="E416" s="73" t="n">
        <v>0</v>
      </c>
      <c r="F416" s="18" t="n">
        <v>0</v>
      </c>
      <c r="G416" s="20" t="n">
        <v>94</v>
      </c>
      <c r="H416" s="18" t="n">
        <v>0</v>
      </c>
      <c r="I416">
        <f t="array" ref="I416">IFERROR(INDEX($N$5:$N$271,MATCH(TRUE,EXACT(A416,$O$5:$O$271),)),"")</f>
        <v/>
      </c>
      <c r="J416" s="25">
        <f>IF(I416="","",IF(E416="","",G416))</f>
        <v/>
      </c>
      <c r="K416" s="26" t="n"/>
    </row>
    <row r="417">
      <c r="A417" s="15" t="inlineStr">
        <is>
          <t>Peppercorn</t>
        </is>
      </c>
      <c r="B417" s="18" t="n">
        <v>0</v>
      </c>
      <c r="C417" s="73" t="n">
        <v>0</v>
      </c>
      <c r="D417" s="73" t="n">
        <v>0</v>
      </c>
      <c r="E417" s="73" t="n">
        <v>0</v>
      </c>
      <c r="F417" s="18" t="n">
        <v>0</v>
      </c>
      <c r="G417" s="20" t="n">
        <v>5</v>
      </c>
      <c r="H417" s="18" t="n">
        <v>0</v>
      </c>
      <c r="I417">
        <f t="array" ref="I417">IFERROR(INDEX($N$5:$N$271,MATCH(TRUE,EXACT(A417,$O$5:$O$271),)),"")</f>
        <v/>
      </c>
      <c r="J417" s="25">
        <f>IF(I417="","",IF(E417="","",G417))</f>
        <v/>
      </c>
      <c r="K417" s="26" t="n"/>
    </row>
    <row r="418">
      <c r="A418" s="15" t="inlineStr">
        <is>
          <t>Peppers</t>
        </is>
      </c>
      <c r="B418" s="18" t="n">
        <v>0</v>
      </c>
      <c r="C418" s="73" t="n">
        <v>0</v>
      </c>
      <c r="D418" s="73" t="n">
        <v>0</v>
      </c>
      <c r="E418" s="73" t="n">
        <v>0</v>
      </c>
      <c r="F418" s="18" t="n">
        <v>0</v>
      </c>
      <c r="G418" s="20" t="n">
        <v>18</v>
      </c>
      <c r="H418" s="18" t="n">
        <v>0</v>
      </c>
      <c r="I418">
        <f t="array" ref="I418">IFERROR(INDEX($N$5:$N$271,MATCH(TRUE,EXACT(A418,$O$5:$O$271),)),"")</f>
        <v/>
      </c>
      <c r="J418" s="25">
        <f>IF(I418="","",IF(E418="","",G418))</f>
        <v/>
      </c>
      <c r="K418" s="26" t="n"/>
    </row>
    <row r="419">
      <c r="A419" s="15" t="inlineStr">
        <is>
          <t>Peppers</t>
        </is>
      </c>
      <c r="B419" s="18" t="n">
        <v>0</v>
      </c>
      <c r="C419" s="73" t="n">
        <v>0</v>
      </c>
      <c r="D419" s="73" t="n">
        <v>0</v>
      </c>
      <c r="E419" s="73" t="n">
        <v>0</v>
      </c>
      <c r="F419" s="18" t="n">
        <v>0</v>
      </c>
      <c r="G419" s="20" t="n">
        <v>2</v>
      </c>
      <c r="H419" s="18" t="n">
        <v>0</v>
      </c>
      <c r="I419">
        <f t="array" ref="I419">IFERROR(INDEX($N$5:$N$271,MATCH(TRUE,EXACT(A419,$O$5:$O$271),)),"")</f>
        <v/>
      </c>
      <c r="J419" s="25">
        <f>IF(I419="","",IF(E419="","",G419))</f>
        <v/>
      </c>
      <c r="K419" s="26" t="n"/>
    </row>
    <row r="420">
      <c r="A420" s="15" t="inlineStr">
        <is>
          <t>Pineapple</t>
        </is>
      </c>
      <c r="B420" s="18" t="n">
        <v>0</v>
      </c>
      <c r="C420" s="73" t="n">
        <v>0</v>
      </c>
      <c r="D420" s="73" t="n">
        <v>0</v>
      </c>
      <c r="E420" s="73" t="n">
        <v>0</v>
      </c>
      <c r="F420" s="18" t="n">
        <v>0</v>
      </c>
      <c r="G420" s="20" t="n">
        <v>1</v>
      </c>
      <c r="H420" s="18" t="n">
        <v>0</v>
      </c>
      <c r="I420">
        <f t="array" ref="I420">IFERROR(INDEX($N$5:$N$271,MATCH(TRUE,EXACT(A420,$O$5:$O$271),)),"")</f>
        <v/>
      </c>
      <c r="J420" s="25">
        <f>IF(I420="","",IF(E420="","",G420))</f>
        <v/>
      </c>
      <c r="K420" s="26" t="n"/>
    </row>
    <row r="421">
      <c r="A421" s="15" t="inlineStr">
        <is>
          <t>Plain</t>
        </is>
      </c>
      <c r="B421" s="18" t="n">
        <v>0</v>
      </c>
      <c r="C421" s="73" t="n">
        <v>0</v>
      </c>
      <c r="D421" s="73" t="n">
        <v>0</v>
      </c>
      <c r="E421" s="73" t="n">
        <v>0</v>
      </c>
      <c r="F421" s="18" t="n">
        <v>0</v>
      </c>
      <c r="G421" s="20" t="n">
        <v>7</v>
      </c>
      <c r="H421" s="18" t="n">
        <v>0</v>
      </c>
      <c r="I421">
        <f t="array" ref="I421">IFERROR(INDEX($N$5:$N$271,MATCH(TRUE,EXACT(A421,$O$5:$O$271),)),"")</f>
        <v/>
      </c>
      <c r="J421" s="25">
        <f>IF(I421="","",IF(E421="","",G421))</f>
        <v/>
      </c>
      <c r="K421" s="26" t="n"/>
    </row>
    <row r="422">
      <c r="A422" s="15" t="inlineStr">
        <is>
          <t>Plain</t>
        </is>
      </c>
      <c r="B422" s="18" t="n">
        <v>0</v>
      </c>
      <c r="C422" s="73" t="n">
        <v>0</v>
      </c>
      <c r="D422" s="73" t="n">
        <v>0</v>
      </c>
      <c r="E422" s="73" t="n">
        <v>0</v>
      </c>
      <c r="F422" s="18" t="n">
        <v>0</v>
      </c>
      <c r="G422" s="20" t="n">
        <v>8</v>
      </c>
      <c r="H422" s="18" t="n">
        <v>0</v>
      </c>
      <c r="I422">
        <f t="array" ref="I422">IFERROR(INDEX($N$5:$N$271,MATCH(TRUE,EXACT(A422,$O$5:$O$271),)),"")</f>
        <v/>
      </c>
      <c r="J422" s="25">
        <f>IF(I422="","",IF(E422="","",G422))</f>
        <v/>
      </c>
      <c r="K422" s="26" t="n"/>
    </row>
    <row r="423">
      <c r="A423" s="15" t="inlineStr">
        <is>
          <t>Plain</t>
        </is>
      </c>
      <c r="B423" s="18" t="n">
        <v>0</v>
      </c>
      <c r="C423" s="73" t="n">
        <v>0</v>
      </c>
      <c r="D423" s="73" t="n">
        <v>0</v>
      </c>
      <c r="E423" s="73" t="n">
        <v>0</v>
      </c>
      <c r="F423" s="18" t="n">
        <v>0</v>
      </c>
      <c r="G423" s="20" t="n">
        <v>65</v>
      </c>
      <c r="H423" s="18" t="n">
        <v>0</v>
      </c>
      <c r="I423">
        <f t="array" ref="I423">IFERROR(INDEX($N$5:$N$271,MATCH(TRUE,EXACT(A423,$O$5:$O$271),)),"")</f>
        <v/>
      </c>
      <c r="J423" s="25">
        <f>IF(I423="","",IF(E423="","",G423))</f>
        <v/>
      </c>
      <c r="K423" s="26" t="n"/>
    </row>
    <row r="424">
      <c r="A424" s="15" t="inlineStr">
        <is>
          <t>Plain</t>
        </is>
      </c>
      <c r="B424" s="18" t="n">
        <v>0</v>
      </c>
      <c r="C424" s="73" t="n">
        <v>0</v>
      </c>
      <c r="D424" s="73" t="n">
        <v>0</v>
      </c>
      <c r="E424" s="73" t="n">
        <v>0</v>
      </c>
      <c r="F424" s="18" t="n">
        <v>0</v>
      </c>
      <c r="G424" s="20" t="n">
        <v>8</v>
      </c>
      <c r="H424" s="18" t="n">
        <v>0</v>
      </c>
      <c r="I424">
        <f t="array" ref="I424">IFERROR(INDEX($N$5:$N$271,MATCH(TRUE,EXACT(A424,$O$5:$O$271),)),"")</f>
        <v/>
      </c>
      <c r="J424" s="25">
        <f>IF(I424="","",IF(E424="","",G424))</f>
        <v/>
      </c>
      <c r="K424" s="26" t="n"/>
    </row>
    <row r="425">
      <c r="A425" s="15" t="inlineStr">
        <is>
          <t>Plain</t>
        </is>
      </c>
      <c r="B425" s="18" t="n">
        <v>0</v>
      </c>
      <c r="C425" s="73" t="n">
        <v>0</v>
      </c>
      <c r="D425" s="73" t="n">
        <v>0</v>
      </c>
      <c r="E425" s="73" t="n">
        <v>0</v>
      </c>
      <c r="F425" s="18" t="n">
        <v>0</v>
      </c>
      <c r="G425" s="20" t="n">
        <v>8</v>
      </c>
      <c r="H425" s="18" t="n">
        <v>0</v>
      </c>
      <c r="I425">
        <f t="array" ref="I425">IFERROR(INDEX($N$5:$N$271,MATCH(TRUE,EXACT(A425,$O$5:$O$271),)),"")</f>
        <v/>
      </c>
      <c r="J425" s="25">
        <f>IF(I425="","",IF(E425="","",G425))</f>
        <v/>
      </c>
      <c r="K425" s="26" t="n"/>
    </row>
    <row r="426">
      <c r="A426" s="15" t="inlineStr">
        <is>
          <t>Plain/No Sauce</t>
        </is>
      </c>
      <c r="B426" s="18" t="n">
        <v>0</v>
      </c>
      <c r="C426" s="73" t="n">
        <v>0</v>
      </c>
      <c r="D426" s="73" t="n">
        <v>0</v>
      </c>
      <c r="E426" s="73" t="n">
        <v>0</v>
      </c>
      <c r="F426" s="18" t="n">
        <v>0</v>
      </c>
      <c r="G426" s="20" t="n">
        <v>3</v>
      </c>
      <c r="H426" s="18" t="n">
        <v>0</v>
      </c>
      <c r="I426">
        <f t="array" ref="I426">IFERROR(INDEX($N$5:$N$271,MATCH(TRUE,EXACT(A426,$O$5:$O$271),)),"")</f>
        <v/>
      </c>
      <c r="J426" s="25">
        <f>IF(I426="","",IF(E426="","",G426))</f>
        <v/>
      </c>
      <c r="K426" s="26" t="n"/>
    </row>
    <row r="427">
      <c r="A427" s="15" t="inlineStr">
        <is>
          <t>Plain Yoghurt</t>
        </is>
      </c>
      <c r="B427" s="18" t="n">
        <v>0</v>
      </c>
      <c r="C427" s="73" t="n">
        <v>0</v>
      </c>
      <c r="D427" s="73" t="n">
        <v>0</v>
      </c>
      <c r="E427" s="73" t="n">
        <v>0</v>
      </c>
      <c r="F427" s="18" t="n">
        <v>0</v>
      </c>
      <c r="G427" s="20" t="n">
        <v>14</v>
      </c>
      <c r="H427" s="18" t="n">
        <v>0</v>
      </c>
      <c r="I427">
        <f t="array" ref="I427">IFERROR(INDEX($N$5:$N$271,MATCH(TRUE,EXACT(A427,$O$5:$O$271),)),"")</f>
        <v/>
      </c>
      <c r="J427" s="25">
        <f>IF(I427="","",IF(E427="","",G427))</f>
        <v/>
      </c>
      <c r="K427" s="26" t="n"/>
    </row>
    <row r="428">
      <c r="A428" s="15" t="inlineStr">
        <is>
          <t>Poached Eggs</t>
        </is>
      </c>
      <c r="B428" s="18" t="n">
        <v>0</v>
      </c>
      <c r="C428" s="73" t="n">
        <v>0</v>
      </c>
      <c r="D428" s="73" t="n">
        <v>0</v>
      </c>
      <c r="E428" s="73" t="n">
        <v>0</v>
      </c>
      <c r="F428" s="18" t="n">
        <v>0</v>
      </c>
      <c r="G428" s="20" t="n">
        <v>204</v>
      </c>
      <c r="H428" s="18" t="n">
        <v>0</v>
      </c>
      <c r="I428">
        <f t="array" ref="I428">IFERROR(INDEX($N$5:$N$271,MATCH(TRUE,EXACT(A428,$O$5:$O$271),)),"")</f>
        <v/>
      </c>
      <c r="J428" s="25">
        <f>IF(I428="","",IF(E428="","",G428))</f>
        <v/>
      </c>
      <c r="K428" s="26" t="n"/>
    </row>
    <row r="429">
      <c r="A429" s="15" t="inlineStr">
        <is>
          <t>Porridge</t>
        </is>
      </c>
      <c r="B429" s="18" t="n">
        <v>0</v>
      </c>
      <c r="C429" s="73" t="n">
        <v>0</v>
      </c>
      <c r="D429" s="73" t="n">
        <v>0</v>
      </c>
      <c r="E429" s="73" t="n">
        <v>0</v>
      </c>
      <c r="F429" s="18" t="n">
        <v>0</v>
      </c>
      <c r="G429" s="20" t="n">
        <v>7</v>
      </c>
      <c r="H429" s="18" t="n">
        <v>0</v>
      </c>
      <c r="I429">
        <f t="array" ref="I429">IFERROR(INDEX($N$5:$N$271,MATCH(TRUE,EXACT(A429,$O$5:$O$271),)),"")</f>
        <v/>
      </c>
      <c r="J429" s="25">
        <f>IF(I429="","",IF(E429="","",G429))</f>
        <v/>
      </c>
      <c r="K429" s="26" t="n"/>
    </row>
    <row r="430">
      <c r="A430" s="15" t="inlineStr">
        <is>
          <t>Protein Shake</t>
        </is>
      </c>
      <c r="B430" s="18" t="n">
        <v>0</v>
      </c>
      <c r="C430" s="73" t="n">
        <v>0</v>
      </c>
      <c r="D430" s="73" t="n">
        <v>0</v>
      </c>
      <c r="E430" s="73" t="n">
        <v>0</v>
      </c>
      <c r="F430" s="18" t="n">
        <v>0</v>
      </c>
      <c r="G430" s="20" t="n">
        <v>4</v>
      </c>
      <c r="H430" s="18" t="n">
        <v>0</v>
      </c>
      <c r="I430">
        <f t="array" ref="I430">IFERROR(INDEX($N$5:$N$271,MATCH(TRUE,EXACT(A430,$O$5:$O$271),)),"")</f>
        <v/>
      </c>
      <c r="J430" s="25">
        <f>IF(I430="","",IF(E430="","",G430))</f>
        <v/>
      </c>
      <c r="K430" s="26" t="n"/>
    </row>
    <row r="431">
      <c r="A431" s="15" t="inlineStr">
        <is>
          <t>Rare</t>
        </is>
      </c>
      <c r="B431" s="18" t="n">
        <v>0</v>
      </c>
      <c r="C431" s="73" t="n">
        <v>0</v>
      </c>
      <c r="D431" s="73" t="n">
        <v>0</v>
      </c>
      <c r="E431" s="73" t="n">
        <v>0</v>
      </c>
      <c r="F431" s="18" t="n">
        <v>0</v>
      </c>
      <c r="G431" s="20" t="n">
        <v>4</v>
      </c>
      <c r="H431" s="18" t="n">
        <v>0</v>
      </c>
      <c r="I431">
        <f t="array" ref="I431">IFERROR(INDEX($N$5:$N$271,MATCH(TRUE,EXACT(A431,$O$5:$O$271),)),"")</f>
        <v/>
      </c>
      <c r="J431" s="25">
        <f>IF(I431="","",IF(E431="","",G431))</f>
        <v/>
      </c>
      <c r="K431" s="26" t="n"/>
    </row>
    <row r="432">
      <c r="A432" s="15" t="inlineStr">
        <is>
          <t>Raspberry</t>
        </is>
      </c>
      <c r="B432" s="18" t="n">
        <v>0</v>
      </c>
      <c r="C432" s="73" t="n">
        <v>0</v>
      </c>
      <c r="D432" s="73" t="n">
        <v>0</v>
      </c>
      <c r="E432" s="73" t="n">
        <v>0</v>
      </c>
      <c r="F432" s="18" t="n">
        <v>0</v>
      </c>
      <c r="G432" s="20" t="n">
        <v>1</v>
      </c>
      <c r="H432" s="18" t="n">
        <v>0</v>
      </c>
      <c r="I432">
        <f t="array" ref="I432">IFERROR(INDEX($N$5:$N$271,MATCH(TRUE,EXACT(A432,$O$5:$O$271),)),"")</f>
        <v/>
      </c>
      <c r="J432" s="25">
        <f>IF(I432="","",IF(E432="","",G432))</f>
        <v/>
      </c>
      <c r="K432" s="26" t="n"/>
    </row>
    <row r="433">
      <c r="A433" s="15" t="inlineStr">
        <is>
          <t>Regular Base</t>
        </is>
      </c>
      <c r="B433" s="18" t="n">
        <v>0</v>
      </c>
      <c r="C433" s="73" t="n">
        <v>0</v>
      </c>
      <c r="D433" s="73" t="n">
        <v>0</v>
      </c>
      <c r="E433" s="73" t="n">
        <v>0</v>
      </c>
      <c r="F433" s="18" t="n">
        <v>0</v>
      </c>
      <c r="G433" s="20" t="n">
        <v>191</v>
      </c>
      <c r="H433" s="18" t="n">
        <v>0</v>
      </c>
      <c r="I433">
        <f t="array" ref="I433">IFERROR(INDEX($N$5:$N$271,MATCH(TRUE,EXACT(A433,$O$5:$O$271),)),"")</f>
        <v/>
      </c>
      <c r="J433" s="25">
        <f>IF(I433="","",IF(E433="","",G433))</f>
        <v/>
      </c>
      <c r="K433" s="26" t="n"/>
    </row>
    <row r="434">
      <c r="A434" s="15" t="inlineStr">
        <is>
          <t>Rice Krispies</t>
        </is>
      </c>
      <c r="B434" s="18" t="n">
        <v>0</v>
      </c>
      <c r="C434" s="73" t="n">
        <v>0</v>
      </c>
      <c r="D434" s="73" t="n">
        <v>0</v>
      </c>
      <c r="E434" s="73" t="n">
        <v>0</v>
      </c>
      <c r="F434" s="18" t="n">
        <v>0</v>
      </c>
      <c r="G434" s="20" t="n">
        <v>7</v>
      </c>
      <c r="H434" s="18" t="n">
        <v>0</v>
      </c>
      <c r="I434">
        <f t="array" ref="I434">IFERROR(INDEX($N$5:$N$271,MATCH(TRUE,EXACT(A434,$O$5:$O$271),)),"")</f>
        <v/>
      </c>
      <c r="J434" s="25">
        <f>IF(I434="","",IF(E434="","",G434))</f>
        <v/>
      </c>
      <c r="K434" s="26" t="n"/>
    </row>
    <row r="435">
      <c r="A435" s="15" t="inlineStr">
        <is>
          <t>Sausage</t>
        </is>
      </c>
      <c r="B435" s="18" t="n">
        <v>0</v>
      </c>
      <c r="C435" s="73" t="n">
        <v>0</v>
      </c>
      <c r="D435" s="73" t="n">
        <v>0</v>
      </c>
      <c r="E435" s="73" t="n">
        <v>0</v>
      </c>
      <c r="F435" s="18" t="n">
        <v>0</v>
      </c>
      <c r="G435" s="20" t="n">
        <v>155</v>
      </c>
      <c r="H435" s="18" t="n">
        <v>0</v>
      </c>
      <c r="I435">
        <f t="array" ref="I435">IFERROR(INDEX($N$5:$N$271,MATCH(TRUE,EXACT(A435,$O$5:$O$271),)),"")</f>
        <v/>
      </c>
      <c r="J435" s="25">
        <f>IF(I435="","",IF(E435="","",G435))</f>
        <v/>
      </c>
      <c r="K435" s="26" t="n"/>
    </row>
    <row r="436">
      <c r="A436" s="15" t="inlineStr">
        <is>
          <t>Scrambled Eggs</t>
        </is>
      </c>
      <c r="B436" s="18" t="n">
        <v>0</v>
      </c>
      <c r="C436" s="73" t="n">
        <v>0</v>
      </c>
      <c r="D436" s="73" t="n">
        <v>0</v>
      </c>
      <c r="E436" s="73" t="n">
        <v>0</v>
      </c>
      <c r="F436" s="18" t="n">
        <v>0</v>
      </c>
      <c r="G436" s="20" t="n">
        <v>212</v>
      </c>
      <c r="H436" s="18" t="n">
        <v>0</v>
      </c>
      <c r="I436">
        <f t="array" ref="I436">IFERROR(INDEX($N$5:$N$271,MATCH(TRUE,EXACT(A436,$O$5:$O$271),)),"")</f>
        <v/>
      </c>
      <c r="J436" s="25">
        <f>IF(I436="","",IF(E436="","",G436))</f>
        <v/>
      </c>
      <c r="K436" s="26" t="n"/>
    </row>
    <row r="437">
      <c r="A437" s="15" t="inlineStr">
        <is>
          <t>Semi Skimmed Milk</t>
        </is>
      </c>
      <c r="B437" s="18" t="n">
        <v>0</v>
      </c>
      <c r="C437" s="73" t="n">
        <v>0</v>
      </c>
      <c r="D437" s="73" t="n">
        <v>0</v>
      </c>
      <c r="E437" s="73" t="n">
        <v>0</v>
      </c>
      <c r="F437" s="18" t="n">
        <v>0</v>
      </c>
      <c r="G437" s="20" t="n">
        <v>4</v>
      </c>
      <c r="H437" s="18" t="n">
        <v>0</v>
      </c>
      <c r="I437">
        <f t="array" ref="I437">IFERROR(INDEX($N$5:$N$271,MATCH(TRUE,EXACT(A437,$O$5:$O$271),)),"")</f>
        <v/>
      </c>
      <c r="J437" s="25">
        <f>IF(I437="","",IF(E437="","",G437))</f>
        <v/>
      </c>
      <c r="K437" s="26" t="n"/>
    </row>
    <row r="438">
      <c r="A438" s="15" t="inlineStr">
        <is>
          <t>Semi-Skimmed Milk</t>
        </is>
      </c>
      <c r="B438" s="18" t="n">
        <v>0</v>
      </c>
      <c r="C438" s="73" t="n">
        <v>0</v>
      </c>
      <c r="D438" s="73" t="n">
        <v>0</v>
      </c>
      <c r="E438" s="73" t="n">
        <v>0</v>
      </c>
      <c r="F438" s="18" t="n">
        <v>0</v>
      </c>
      <c r="G438" s="20" t="n">
        <v>29</v>
      </c>
      <c r="H438" s="18" t="n">
        <v>0</v>
      </c>
      <c r="I438">
        <f t="array" ref="I438">IFERROR(INDEX($N$5:$N$271,MATCH(TRUE,EXACT(A438,$O$5:$O$271),)),"")</f>
        <v/>
      </c>
      <c r="J438" s="25">
        <f>IF(I438="","",IF(E438="","",G438))</f>
        <v/>
      </c>
      <c r="K438" s="26" t="n"/>
    </row>
    <row r="439">
      <c r="A439" s="15" t="inlineStr">
        <is>
          <t>Skimmed Milk</t>
        </is>
      </c>
      <c r="B439" s="18" t="n">
        <v>0</v>
      </c>
      <c r="C439" s="73" t="n">
        <v>0</v>
      </c>
      <c r="D439" s="73" t="n">
        <v>0</v>
      </c>
      <c r="E439" s="73" t="n">
        <v>0</v>
      </c>
      <c r="F439" s="18" t="n">
        <v>0</v>
      </c>
      <c r="G439" s="20" t="n">
        <v>1</v>
      </c>
      <c r="H439" s="18" t="n">
        <v>0</v>
      </c>
      <c r="I439">
        <f t="array" ref="I439">IFERROR(INDEX($N$5:$N$271,MATCH(TRUE,EXACT(A439,$O$5:$O$271),)),"")</f>
        <v/>
      </c>
      <c r="J439" s="25">
        <f>IF(I439="","",IF(E439="","",G439))</f>
        <v/>
      </c>
      <c r="K439" s="26" t="n"/>
    </row>
    <row r="440">
      <c r="A440" s="15" t="inlineStr">
        <is>
          <t>Skimmed Milk</t>
        </is>
      </c>
      <c r="B440" s="18" t="n">
        <v>0</v>
      </c>
      <c r="C440" s="73" t="n">
        <v>0</v>
      </c>
      <c r="D440" s="73" t="n">
        <v>0</v>
      </c>
      <c r="E440" s="73" t="n">
        <v>0</v>
      </c>
      <c r="F440" s="18" t="n">
        <v>0</v>
      </c>
      <c r="G440" s="20" t="n">
        <v>51</v>
      </c>
      <c r="H440" s="18" t="n">
        <v>0</v>
      </c>
      <c r="I440">
        <f t="array" ref="I440">IFERROR(INDEX($N$5:$N$271,MATCH(TRUE,EXACT(A440,$O$5:$O$271),)),"")</f>
        <v/>
      </c>
      <c r="J440" s="25">
        <f>IF(I440="","",IF(E440="","",G440))</f>
        <v/>
      </c>
      <c r="K440" s="26" t="n"/>
    </row>
    <row r="441">
      <c r="A441" s="15" t="inlineStr">
        <is>
          <t>SLICED</t>
        </is>
      </c>
      <c r="B441" s="18" t="n">
        <v>0</v>
      </c>
      <c r="C441" s="73" t="n">
        <v>0</v>
      </c>
      <c r="D441" s="73" t="n">
        <v>0</v>
      </c>
      <c r="E441" s="73" t="n">
        <v>0</v>
      </c>
      <c r="F441" s="18" t="n">
        <v>0</v>
      </c>
      <c r="G441" s="20" t="n">
        <v>1</v>
      </c>
      <c r="H441" s="18" t="n">
        <v>0</v>
      </c>
      <c r="I441">
        <f t="array" ref="I441">IFERROR(INDEX($N$5:$N$271,MATCH(TRUE,EXACT(A441,$O$5:$O$271),)),"")</f>
        <v/>
      </c>
      <c r="J441" s="25">
        <f>IF(I441="","",IF(E441="","",G441))</f>
        <v/>
      </c>
      <c r="K441" s="26" t="n"/>
    </row>
    <row r="442">
      <c r="A442" s="15" t="inlineStr">
        <is>
          <t>Sliced Fruits</t>
        </is>
      </c>
      <c r="B442" s="18" t="n">
        <v>0</v>
      </c>
      <c r="C442" s="73" t="n">
        <v>0</v>
      </c>
      <c r="D442" s="73" t="n">
        <v>0</v>
      </c>
      <c r="E442" s="73" t="n">
        <v>0</v>
      </c>
      <c r="F442" s="18" t="n">
        <v>0</v>
      </c>
      <c r="G442" s="20" t="n">
        <v>3</v>
      </c>
      <c r="H442" s="18" t="n">
        <v>0</v>
      </c>
      <c r="I442">
        <f t="array" ref="I442">IFERROR(INDEX($N$5:$N$271,MATCH(TRUE,EXACT(A442,$O$5:$O$271),)),"")</f>
        <v/>
      </c>
      <c r="J442" s="25">
        <f>IF(I442="","",IF(E442="","",G442))</f>
        <v/>
      </c>
      <c r="K442" s="26" t="n"/>
    </row>
    <row r="443">
      <c r="A443" s="15" t="inlineStr">
        <is>
          <t>Smoked Salmon Scrambled Eggs Bri</t>
        </is>
      </c>
      <c r="B443" s="18" t="n">
        <v>0</v>
      </c>
      <c r="C443" s="73" t="n">
        <v>0</v>
      </c>
      <c r="D443" s="73" t="n">
        <v>0</v>
      </c>
      <c r="E443" s="73" t="n">
        <v>0</v>
      </c>
      <c r="F443" s="18" t="n">
        <v>0</v>
      </c>
      <c r="G443" s="20" t="n">
        <v>1</v>
      </c>
      <c r="H443" s="18" t="n">
        <v>0</v>
      </c>
      <c r="I443">
        <f t="array" ref="I443">IFERROR(INDEX($N$5:$N$271,MATCH(TRUE,EXACT(A443,$O$5:$O$271),)),"")</f>
        <v/>
      </c>
      <c r="J443" s="25">
        <f>IF(I443="","",IF(E443="","",G443))</f>
        <v/>
      </c>
      <c r="K443" s="26" t="n"/>
    </row>
    <row r="444">
      <c r="A444" s="15" t="inlineStr">
        <is>
          <t>Soft</t>
        </is>
      </c>
      <c r="B444" s="18" t="n">
        <v>0</v>
      </c>
      <c r="C444" s="73" t="n">
        <v>0</v>
      </c>
      <c r="D444" s="73" t="n">
        <v>0</v>
      </c>
      <c r="E444" s="73" t="n">
        <v>0</v>
      </c>
      <c r="F444" s="18" t="n">
        <v>0</v>
      </c>
      <c r="G444" s="20" t="n">
        <v>5</v>
      </c>
      <c r="H444" s="18" t="n">
        <v>0</v>
      </c>
      <c r="I444">
        <f t="array" ref="I444">IFERROR(INDEX($N$5:$N$271,MATCH(TRUE,EXACT(A444,$O$5:$O$271),)),"")</f>
        <v/>
      </c>
      <c r="J444" s="25">
        <f>IF(I444="","",IF(E444="","",G444))</f>
        <v/>
      </c>
      <c r="K444" s="26" t="n"/>
    </row>
    <row r="445">
      <c r="A445" s="15" t="inlineStr">
        <is>
          <t>Soft</t>
        </is>
      </c>
      <c r="B445" s="18" t="n">
        <v>0</v>
      </c>
      <c r="C445" s="73" t="n">
        <v>0</v>
      </c>
      <c r="D445" s="73" t="n">
        <v>0</v>
      </c>
      <c r="E445" s="73" t="n">
        <v>0</v>
      </c>
      <c r="F445" s="18" t="n">
        <v>0</v>
      </c>
      <c r="G445" s="20" t="n">
        <v>72</v>
      </c>
      <c r="H445" s="18" t="n">
        <v>0</v>
      </c>
      <c r="I445">
        <f t="array" ref="I445">IFERROR(INDEX($N$5:$N$271,MATCH(TRUE,EXACT(A445,$O$5:$O$271),)),"")</f>
        <v/>
      </c>
      <c r="J445" s="25">
        <f>IF(I445="","",IF(E445="","",G445))</f>
        <v/>
      </c>
      <c r="K445" s="26" t="n"/>
    </row>
    <row r="446">
      <c r="A446" s="15" t="inlineStr">
        <is>
          <t>Soft</t>
        </is>
      </c>
      <c r="B446" s="18" t="n">
        <v>0</v>
      </c>
      <c r="C446" s="73" t="n">
        <v>0</v>
      </c>
      <c r="D446" s="73" t="n">
        <v>0</v>
      </c>
      <c r="E446" s="73" t="n">
        <v>0</v>
      </c>
      <c r="F446" s="18" t="n">
        <v>0</v>
      </c>
      <c r="G446" s="20" t="n">
        <v>11</v>
      </c>
      <c r="H446" s="18" t="n">
        <v>0</v>
      </c>
      <c r="I446">
        <f t="array" ref="I446">IFERROR(INDEX($N$5:$N$271,MATCH(TRUE,EXACT(A446,$O$5:$O$271),)),"")</f>
        <v/>
      </c>
      <c r="J446" s="25">
        <f>IF(I446="","",IF(E446="","",G446))</f>
        <v/>
      </c>
      <c r="K446" s="26" t="n"/>
    </row>
    <row r="447">
      <c r="A447" s="15" t="inlineStr">
        <is>
          <t>Sourdough</t>
        </is>
      </c>
      <c r="B447" s="18" t="n">
        <v>0</v>
      </c>
      <c r="C447" s="73" t="n">
        <v>0</v>
      </c>
      <c r="D447" s="73" t="n">
        <v>0</v>
      </c>
      <c r="E447" s="73" t="n">
        <v>0</v>
      </c>
      <c r="F447" s="18" t="n">
        <v>0</v>
      </c>
      <c r="G447" s="20" t="n">
        <v>104</v>
      </c>
      <c r="H447" s="18" t="n">
        <v>0</v>
      </c>
      <c r="I447">
        <f t="array" ref="I447">IFERROR(INDEX($N$5:$N$271,MATCH(TRUE,EXACT(A447,$O$5:$O$271),)),"")</f>
        <v/>
      </c>
      <c r="J447" s="25">
        <f>IF(I447="","",IF(E447="","",G447))</f>
        <v/>
      </c>
      <c r="K447" s="26" t="n"/>
    </row>
    <row r="448">
      <c r="A448" s="15" t="inlineStr">
        <is>
          <t>Sourdough</t>
        </is>
      </c>
      <c r="B448" s="18" t="n">
        <v>0</v>
      </c>
      <c r="C448" s="73" t="n">
        <v>0</v>
      </c>
      <c r="D448" s="73" t="n">
        <v>0</v>
      </c>
      <c r="E448" s="73" t="n">
        <v>0</v>
      </c>
      <c r="F448" s="18" t="n">
        <v>0</v>
      </c>
      <c r="G448" s="20" t="n">
        <v>6</v>
      </c>
      <c r="H448" s="18" t="n">
        <v>0</v>
      </c>
      <c r="I448">
        <f t="array" ref="I448">IFERROR(INDEX($N$5:$N$271,MATCH(TRUE,EXACT(A448,$O$5:$O$271),)),"")</f>
        <v/>
      </c>
      <c r="J448" s="25">
        <f>IF(I448="","",IF(E448="","",G448))</f>
        <v/>
      </c>
      <c r="K448" s="26" t="n"/>
    </row>
    <row r="449">
      <c r="A449" s="15" t="inlineStr">
        <is>
          <t>Soya Milk</t>
        </is>
      </c>
      <c r="B449" s="18" t="n">
        <v>0</v>
      </c>
      <c r="C449" s="73" t="n">
        <v>0</v>
      </c>
      <c r="D449" s="73" t="n">
        <v>0</v>
      </c>
      <c r="E449" s="73" t="n">
        <v>0</v>
      </c>
      <c r="F449" s="18" t="n">
        <v>0</v>
      </c>
      <c r="G449" s="20" t="n">
        <v>35</v>
      </c>
      <c r="H449" s="18" t="n">
        <v>0</v>
      </c>
      <c r="I449">
        <f t="array" ref="I449">IFERROR(INDEX($N$5:$N$271,MATCH(TRUE,EXACT(A449,$O$5:$O$271),)),"")</f>
        <v/>
      </c>
      <c r="J449" s="25">
        <f>IF(I449="","",IF(E449="","",G449))</f>
        <v/>
      </c>
      <c r="K449" s="26" t="n"/>
    </row>
    <row r="450">
      <c r="A450" s="15" t="inlineStr">
        <is>
          <t>Special K</t>
        </is>
      </c>
      <c r="B450" s="18" t="n">
        <v>0</v>
      </c>
      <c r="C450" s="73" t="n">
        <v>0</v>
      </c>
      <c r="D450" s="73" t="n">
        <v>0</v>
      </c>
      <c r="E450" s="73" t="n">
        <v>0</v>
      </c>
      <c r="F450" s="18" t="n">
        <v>0</v>
      </c>
      <c r="G450" s="20" t="n">
        <v>11</v>
      </c>
      <c r="H450" s="18" t="n">
        <v>0</v>
      </c>
      <c r="I450">
        <f t="array" ref="I450">IFERROR(INDEX($N$5:$N$271,MATCH(TRUE,EXACT(A450,$O$5:$O$271),)),"")</f>
        <v/>
      </c>
      <c r="J450" s="25">
        <f>IF(I450="","",IF(E450="","",G450))</f>
        <v/>
      </c>
      <c r="K450" s="26" t="n"/>
    </row>
    <row r="451">
      <c r="A451" s="15" t="inlineStr">
        <is>
          <t>Spinach</t>
        </is>
      </c>
      <c r="B451" s="18" t="n">
        <v>0</v>
      </c>
      <c r="C451" s="73" t="n">
        <v>0</v>
      </c>
      <c r="D451" s="73" t="n">
        <v>0</v>
      </c>
      <c r="E451" s="73" t="n">
        <v>0</v>
      </c>
      <c r="F451" s="18" t="n">
        <v>0</v>
      </c>
      <c r="G451" s="20" t="n">
        <v>23</v>
      </c>
      <c r="H451" s="18" t="n">
        <v>0</v>
      </c>
      <c r="I451">
        <f t="array" ref="I451">IFERROR(INDEX($N$5:$N$271,MATCH(TRUE,EXACT(A451,$O$5:$O$271),)),"")</f>
        <v/>
      </c>
      <c r="J451" s="25">
        <f>IF(I451="","",IF(E451="","",G451))</f>
        <v/>
      </c>
      <c r="K451" s="26" t="n">
        <v>24</v>
      </c>
    </row>
    <row r="452">
      <c r="A452" s="15" t="inlineStr">
        <is>
          <t>Spinach</t>
        </is>
      </c>
      <c r="B452" s="18" t="n">
        <v>0</v>
      </c>
      <c r="C452" s="73" t="n">
        <v>0</v>
      </c>
      <c r="D452" s="73" t="n">
        <v>0</v>
      </c>
      <c r="E452" s="73" t="n">
        <v>0</v>
      </c>
      <c r="F452" s="18" t="n">
        <v>0</v>
      </c>
      <c r="G452" s="20" t="n">
        <v>4</v>
      </c>
      <c r="H452" s="18" t="n">
        <v>0</v>
      </c>
      <c r="I452">
        <f t="array" ref="I452">IFERROR(INDEX($N$5:$N$271,MATCH(TRUE,EXACT(A452,$O$5:$O$271),)),"")</f>
        <v/>
      </c>
      <c r="J452" s="25">
        <f>IF(I452="","",IF(E452="","",G452))</f>
        <v/>
      </c>
      <c r="K452" s="26" t="n">
        <v>25</v>
      </c>
    </row>
    <row r="453">
      <c r="A453" s="15" t="inlineStr">
        <is>
          <t>Spirulina</t>
        </is>
      </c>
      <c r="B453" s="18" t="n">
        <v>0</v>
      </c>
      <c r="C453" s="73" t="n">
        <v>0</v>
      </c>
      <c r="D453" s="73" t="n">
        <v>0</v>
      </c>
      <c r="E453" s="73" t="n">
        <v>0</v>
      </c>
      <c r="F453" s="18" t="n">
        <v>0</v>
      </c>
      <c r="G453" s="20" t="n">
        <v>1</v>
      </c>
      <c r="H453" s="18" t="n">
        <v>0</v>
      </c>
      <c r="I453">
        <f t="array" ref="I453">IFERROR(INDEX($N$5:$N$271,MATCH(TRUE,EXACT(A453,$O$5:$O$271),)),"")</f>
        <v/>
      </c>
      <c r="J453" s="25">
        <f>IF(I453="","",IF(E453="","",G453))</f>
        <v/>
      </c>
      <c r="K453" s="26" t="n"/>
    </row>
    <row r="454">
      <c r="A454" s="15" t="inlineStr">
        <is>
          <t>Standard</t>
        </is>
      </c>
      <c r="B454" s="18" t="n">
        <v>0</v>
      </c>
      <c r="C454" s="73" t="n">
        <v>0</v>
      </c>
      <c r="D454" s="73" t="n">
        <v>0</v>
      </c>
      <c r="E454" s="73" t="n">
        <v>0</v>
      </c>
      <c r="F454" s="18" t="n">
        <v>0</v>
      </c>
      <c r="G454" s="20" t="n">
        <v>68</v>
      </c>
      <c r="H454" s="18" t="n">
        <v>0</v>
      </c>
      <c r="I454">
        <f t="array" ref="I454">IFERROR(INDEX($N$5:$N$271,MATCH(TRUE,EXACT(A454,$O$5:$O$271),)),"")</f>
        <v/>
      </c>
      <c r="J454" s="25">
        <f>IF(I454="","",IF(E454="","",G454))</f>
        <v/>
      </c>
      <c r="K454" s="26" t="n"/>
    </row>
    <row r="455">
      <c r="A455" s="15" t="inlineStr">
        <is>
          <t>Standard</t>
        </is>
      </c>
      <c r="B455" s="18" t="n">
        <v>0</v>
      </c>
      <c r="C455" s="73" t="n">
        <v>0</v>
      </c>
      <c r="D455" s="73" t="n">
        <v>0</v>
      </c>
      <c r="E455" s="73" t="n">
        <v>0</v>
      </c>
      <c r="F455" s="18" t="n">
        <v>0</v>
      </c>
      <c r="G455" s="20" t="n">
        <v>5</v>
      </c>
      <c r="H455" s="18" t="n">
        <v>0</v>
      </c>
      <c r="I455">
        <f t="array" ref="I455">IFERROR(INDEX($N$5:$N$271,MATCH(TRUE,EXACT(A455,$O$5:$O$271),)),"")</f>
        <v/>
      </c>
      <c r="J455" s="25">
        <f>IF(I455="","",IF(E455="","",G455))</f>
        <v/>
      </c>
      <c r="K455" s="26" t="n"/>
    </row>
    <row r="456">
      <c r="A456" s="15" t="inlineStr">
        <is>
          <t>Strawberry</t>
        </is>
      </c>
      <c r="B456" s="18" t="n">
        <v>0</v>
      </c>
      <c r="C456" s="73" t="n">
        <v>0</v>
      </c>
      <c r="D456" s="73" t="n">
        <v>0</v>
      </c>
      <c r="E456" s="73" t="n">
        <v>0</v>
      </c>
      <c r="F456" s="18" t="n">
        <v>0</v>
      </c>
      <c r="G456" s="20" t="n">
        <v>6</v>
      </c>
      <c r="H456" s="18" t="n">
        <v>0</v>
      </c>
      <c r="I456">
        <f t="array" ref="I456">IFERROR(INDEX($N$5:$N$271,MATCH(TRUE,EXACT(A456,$O$5:$O$271),)),"")</f>
        <v/>
      </c>
      <c r="J456" s="25">
        <f>IF(I456="","",IF(E456="","",G456))</f>
        <v/>
      </c>
      <c r="K456" s="26" t="n"/>
    </row>
    <row r="457">
      <c r="A457" s="15" t="inlineStr">
        <is>
          <t>Strawberry</t>
        </is>
      </c>
      <c r="B457" s="18" t="n">
        <v>0</v>
      </c>
      <c r="C457" s="73" t="n">
        <v>0</v>
      </c>
      <c r="D457" s="73" t="n">
        <v>0</v>
      </c>
      <c r="E457" s="73" t="n">
        <v>0</v>
      </c>
      <c r="F457" s="18" t="n">
        <v>0</v>
      </c>
      <c r="G457" s="20" t="n">
        <v>13</v>
      </c>
      <c r="H457" s="18" t="n">
        <v>0</v>
      </c>
      <c r="I457">
        <f t="array" ref="I457">IFERROR(INDEX($N$5:$N$271,MATCH(TRUE,EXACT(A457,$O$5:$O$271),)),"")</f>
        <v/>
      </c>
      <c r="J457" s="25">
        <f>IF(I457="","",IF(E457="","",G457))</f>
        <v/>
      </c>
      <c r="K457" s="26" t="n"/>
    </row>
    <row r="458">
      <c r="A458" s="15" t="inlineStr">
        <is>
          <t>Strawberry</t>
        </is>
      </c>
      <c r="B458" s="18" t="n">
        <v>0</v>
      </c>
      <c r="C458" s="73" t="n">
        <v>0</v>
      </c>
      <c r="D458" s="73" t="n">
        <v>0</v>
      </c>
      <c r="E458" s="73" t="n">
        <v>0</v>
      </c>
      <c r="F458" s="18" t="n">
        <v>0</v>
      </c>
      <c r="G458" s="20" t="n">
        <v>3</v>
      </c>
      <c r="H458" s="18" t="n">
        <v>0</v>
      </c>
      <c r="I458">
        <f t="array" ref="I458">IFERROR(INDEX($N$5:$N$271,MATCH(TRUE,EXACT(A458,$O$5:$O$271),)),"")</f>
        <v/>
      </c>
      <c r="J458" s="25">
        <f>IF(I458="","",IF(E458="","",G458))</f>
        <v/>
      </c>
      <c r="K458" s="26" t="n"/>
    </row>
    <row r="459">
      <c r="A459" s="15" t="inlineStr">
        <is>
          <t>Sunny Up</t>
        </is>
      </c>
      <c r="B459" s="18" t="n">
        <v>0</v>
      </c>
      <c r="C459" s="73" t="n">
        <v>0</v>
      </c>
      <c r="D459" s="73" t="n">
        <v>0</v>
      </c>
      <c r="E459" s="73" t="n">
        <v>0</v>
      </c>
      <c r="F459" s="18" t="n">
        <v>0</v>
      </c>
      <c r="G459" s="20" t="n">
        <v>119</v>
      </c>
      <c r="H459" s="18" t="n">
        <v>0</v>
      </c>
      <c r="I459">
        <f t="array" ref="I459">IFERROR(INDEX($N$5:$N$271,MATCH(TRUE,EXACT(A459,$O$5:$O$271),)),"")</f>
        <v/>
      </c>
      <c r="J459" s="25">
        <f>IF(I459="","",IF(E459="","",G459))</f>
        <v/>
      </c>
      <c r="K459" s="26" t="n"/>
    </row>
    <row r="460">
      <c r="A460" s="15" t="inlineStr">
        <is>
          <t>Tomato</t>
        </is>
      </c>
      <c r="B460" s="18" t="n">
        <v>0</v>
      </c>
      <c r="C460" s="73" t="n">
        <v>0</v>
      </c>
      <c r="D460" s="73" t="n">
        <v>0</v>
      </c>
      <c r="E460" s="73" t="n">
        <v>0</v>
      </c>
      <c r="F460" s="18" t="n">
        <v>0</v>
      </c>
      <c r="G460" s="20" t="n">
        <v>6</v>
      </c>
      <c r="H460" s="18" t="n">
        <v>0</v>
      </c>
      <c r="I460">
        <f t="array" ref="I460">IFERROR(INDEX($N$5:$N$271,MATCH(TRUE,EXACT(A460,$O$5:$O$271),)),"")</f>
        <v/>
      </c>
      <c r="J460" s="25">
        <f>IF(I460="","",IF(E460="","",G460))</f>
        <v/>
      </c>
      <c r="K460" s="26" t="n"/>
    </row>
    <row r="461">
      <c r="A461" s="15" t="inlineStr">
        <is>
          <t>Tomato</t>
        </is>
      </c>
      <c r="B461" s="18" t="n">
        <v>0</v>
      </c>
      <c r="C461" s="73" t="n">
        <v>0</v>
      </c>
      <c r="D461" s="73" t="n">
        <v>0</v>
      </c>
      <c r="E461" s="73" t="n">
        <v>0</v>
      </c>
      <c r="F461" s="18" t="n">
        <v>0</v>
      </c>
      <c r="G461" s="20" t="n">
        <v>1</v>
      </c>
      <c r="H461" s="18" t="n">
        <v>0</v>
      </c>
      <c r="I461">
        <f t="array" ref="I461">IFERROR(INDEX($N$5:$N$271,MATCH(TRUE,EXACT(A461,$O$5:$O$271),)),"")</f>
        <v/>
      </c>
      <c r="J461" s="25">
        <f>IF(I461="","",IF(E461="","",G461))</f>
        <v/>
      </c>
      <c r="K461" s="26" t="n"/>
    </row>
    <row r="462">
      <c r="A462" s="15" t="inlineStr">
        <is>
          <t>Tomato</t>
        </is>
      </c>
      <c r="B462" s="18" t="n">
        <v>0</v>
      </c>
      <c r="C462" s="73" t="n">
        <v>0</v>
      </c>
      <c r="D462" s="73" t="n">
        <v>0</v>
      </c>
      <c r="E462" s="73" t="n">
        <v>0</v>
      </c>
      <c r="F462" s="18" t="n">
        <v>0</v>
      </c>
      <c r="G462" s="20" t="n">
        <v>17</v>
      </c>
      <c r="H462" s="18" t="n">
        <v>0</v>
      </c>
      <c r="I462">
        <f t="array" ref="I462">IFERROR(INDEX($N$5:$N$271,MATCH(TRUE,EXACT(A462,$O$5:$O$271),)),"")</f>
        <v/>
      </c>
      <c r="J462" s="25">
        <f>IF(I462="","",IF(E462="","",G462))</f>
        <v/>
      </c>
      <c r="K462" s="26" t="n"/>
    </row>
    <row r="463">
      <c r="A463" s="15" t="inlineStr">
        <is>
          <t>Tomatoes</t>
        </is>
      </c>
      <c r="B463" s="18" t="n">
        <v>0</v>
      </c>
      <c r="C463" s="73" t="n">
        <v>0</v>
      </c>
      <c r="D463" s="73" t="n">
        <v>0</v>
      </c>
      <c r="E463" s="73" t="n">
        <v>0</v>
      </c>
      <c r="F463" s="18" t="n">
        <v>0</v>
      </c>
      <c r="G463" s="20" t="n">
        <v>24</v>
      </c>
      <c r="H463" s="18" t="n">
        <v>0</v>
      </c>
      <c r="I463">
        <f t="array" ref="I463">IFERROR(INDEX($N$5:$N$271,MATCH(TRUE,EXACT(A463,$O$5:$O$271),)),"")</f>
        <v/>
      </c>
      <c r="J463" s="25">
        <f>IF(I463="","",IF(E463="","",G463))</f>
        <v/>
      </c>
      <c r="K463" s="26" t="n"/>
    </row>
    <row r="464">
      <c r="A464" s="15" t="inlineStr">
        <is>
          <t>Tomatoes</t>
        </is>
      </c>
      <c r="B464" s="18" t="n">
        <v>0</v>
      </c>
      <c r="C464" s="73" t="n">
        <v>0</v>
      </c>
      <c r="D464" s="73" t="n">
        <v>0</v>
      </c>
      <c r="E464" s="73" t="n">
        <v>0</v>
      </c>
      <c r="F464" s="18" t="n">
        <v>0</v>
      </c>
      <c r="G464" s="20" t="n">
        <v>103</v>
      </c>
      <c r="H464" s="18" t="n">
        <v>0</v>
      </c>
      <c r="I464">
        <f t="array" ref="I464">IFERROR(INDEX($N$5:$N$271,MATCH(TRUE,EXACT(A464,$O$5:$O$271),)),"")</f>
        <v/>
      </c>
      <c r="J464" s="25">
        <f>IF(I464="","",IF(E464="","",G464))</f>
        <v/>
      </c>
      <c r="K464" s="26" t="n"/>
    </row>
    <row r="465">
      <c r="A465" s="15" t="inlineStr">
        <is>
          <t>Turkey Bacon</t>
        </is>
      </c>
      <c r="B465" s="18" t="n">
        <v>0</v>
      </c>
      <c r="C465" s="73" t="n">
        <v>0</v>
      </c>
      <c r="D465" s="73" t="n">
        <v>0</v>
      </c>
      <c r="E465" s="73" t="n">
        <v>0</v>
      </c>
      <c r="F465" s="18" t="n">
        <v>0</v>
      </c>
      <c r="G465" s="20" t="n">
        <v>1</v>
      </c>
      <c r="H465" s="18" t="n">
        <v>0</v>
      </c>
      <c r="I465">
        <f t="array" ref="I465">IFERROR(INDEX($N$5:$N$271,MATCH(TRUE,EXACT(A465,$O$5:$O$271),)),"")</f>
        <v/>
      </c>
      <c r="J465" s="25">
        <f>IF(I465="","",IF(E465="","",G465))</f>
        <v/>
      </c>
      <c r="K465" s="26" t="n"/>
    </row>
    <row r="466">
      <c r="A466" s="15" t="inlineStr">
        <is>
          <t>Vanilia</t>
        </is>
      </c>
      <c r="B466" s="18" t="n">
        <v>0</v>
      </c>
      <c r="C466" s="73" t="n">
        <v>0</v>
      </c>
      <c r="D466" s="73" t="n">
        <v>0</v>
      </c>
      <c r="E466" s="73" t="n">
        <v>0</v>
      </c>
      <c r="F466" s="18" t="n">
        <v>0</v>
      </c>
      <c r="G466" s="20" t="n">
        <v>2</v>
      </c>
      <c r="H466" s="18" t="n">
        <v>0</v>
      </c>
      <c r="I466">
        <f t="array" ref="I466">IFERROR(INDEX($N$5:$N$271,MATCH(TRUE,EXACT(A466,$O$5:$O$271),)),"")</f>
        <v/>
      </c>
      <c r="J466" s="25">
        <f>IF(I466="","",IF(E466="","",G466))</f>
        <v/>
      </c>
      <c r="K466" s="26" t="n"/>
    </row>
    <row r="467">
      <c r="A467" s="15" t="inlineStr">
        <is>
          <t>Vanilla</t>
        </is>
      </c>
      <c r="B467" s="18" t="n">
        <v>0</v>
      </c>
      <c r="C467" s="73" t="n">
        <v>0</v>
      </c>
      <c r="D467" s="73" t="n">
        <v>0</v>
      </c>
      <c r="E467" s="73" t="n">
        <v>0</v>
      </c>
      <c r="F467" s="18" t="n">
        <v>0</v>
      </c>
      <c r="G467" s="20" t="n">
        <v>55</v>
      </c>
      <c r="H467" s="18" t="n">
        <v>0</v>
      </c>
      <c r="I467">
        <f t="array" ref="I467">IFERROR(INDEX($N$5:$N$271,MATCH(TRUE,EXACT(A467,$O$5:$O$271),)),"")</f>
        <v/>
      </c>
      <c r="J467" s="25">
        <f>IF(I467="","",IF(E467="","",G467))</f>
        <v/>
      </c>
      <c r="K467" s="26" t="n"/>
    </row>
    <row r="468">
      <c r="A468" s="15" t="inlineStr">
        <is>
          <t>Vanilla</t>
        </is>
      </c>
      <c r="B468" s="18" t="n">
        <v>0</v>
      </c>
      <c r="C468" s="73" t="n">
        <v>0</v>
      </c>
      <c r="D468" s="73" t="n">
        <v>0</v>
      </c>
      <c r="E468" s="73" t="n">
        <v>0</v>
      </c>
      <c r="F468" s="18" t="n">
        <v>0</v>
      </c>
      <c r="G468" s="20" t="n">
        <v>13</v>
      </c>
      <c r="H468" s="18" t="n">
        <v>0</v>
      </c>
      <c r="I468">
        <f t="array" ref="I468">IFERROR(INDEX($N$5:$N$271,MATCH(TRUE,EXACT(A468,$O$5:$O$271),)),"")</f>
        <v/>
      </c>
      <c r="J468" s="25">
        <f>IF(I468="","",IF(E468="","",G468))</f>
        <v/>
      </c>
      <c r="K468" s="26" t="n"/>
    </row>
    <row r="469">
      <c r="A469" s="15" t="inlineStr">
        <is>
          <t>Veg Sausage</t>
        </is>
      </c>
      <c r="B469" s="18" t="n">
        <v>0</v>
      </c>
      <c r="C469" s="73" t="n">
        <v>0</v>
      </c>
      <c r="D469" s="73" t="n">
        <v>0</v>
      </c>
      <c r="E469" s="73" t="n">
        <v>0</v>
      </c>
      <c r="F469" s="18" t="n">
        <v>0</v>
      </c>
      <c r="G469" s="20" t="n">
        <v>4</v>
      </c>
      <c r="H469" s="18" t="n">
        <v>0</v>
      </c>
      <c r="I469">
        <f t="array" ref="I469">IFERROR(INDEX($N$5:$N$271,MATCH(TRUE,EXACT(A469,$O$5:$O$271),)),"")</f>
        <v/>
      </c>
      <c r="J469" s="25">
        <f>IF(I469="","",IF(E469="","",G469))</f>
        <v/>
      </c>
      <c r="K469" s="26" t="n"/>
    </row>
    <row r="470">
      <c r="A470" s="15" t="inlineStr">
        <is>
          <t>Water</t>
        </is>
      </c>
      <c r="B470" s="18" t="n">
        <v>0</v>
      </c>
      <c r="C470" s="73" t="n">
        <v>0</v>
      </c>
      <c r="D470" s="73" t="n">
        <v>0</v>
      </c>
      <c r="E470" s="73" t="n">
        <v>0</v>
      </c>
      <c r="F470" s="18" t="n">
        <v>0</v>
      </c>
      <c r="G470" s="20" t="n">
        <v>9</v>
      </c>
      <c r="H470" s="18" t="n">
        <v>0</v>
      </c>
      <c r="I470">
        <f t="array" ref="I470">IFERROR(INDEX($N$5:$N$271,MATCH(TRUE,EXACT(A470,$O$5:$O$271),)),"")</f>
        <v/>
      </c>
      <c r="J470" s="25">
        <f>IF(I470="","",IF(E470="","",G470))</f>
        <v/>
      </c>
      <c r="K470" s="26" t="n"/>
    </row>
    <row r="471">
      <c r="A471" s="15" t="inlineStr">
        <is>
          <t>Weetabix</t>
        </is>
      </c>
      <c r="B471" s="18" t="n">
        <v>0</v>
      </c>
      <c r="C471" s="73" t="n">
        <v>0</v>
      </c>
      <c r="D471" s="73" t="n">
        <v>0</v>
      </c>
      <c r="E471" s="73" t="n">
        <v>0</v>
      </c>
      <c r="F471" s="18" t="n">
        <v>0</v>
      </c>
      <c r="G471" s="20" t="n">
        <v>6</v>
      </c>
      <c r="H471" s="18" t="n">
        <v>0</v>
      </c>
      <c r="I471">
        <f t="array" ref="I471">IFERROR(INDEX($N$5:$N$271,MATCH(TRUE,EXACT(A471,$O$5:$O$271),)),"")</f>
        <v/>
      </c>
      <c r="J471" s="25">
        <f>IF(I471="","",IF(E471="","",G471))</f>
        <v/>
      </c>
      <c r="K471" s="26" t="n"/>
    </row>
    <row r="472">
      <c r="A472" s="15" t="inlineStr">
        <is>
          <t>Well Done</t>
        </is>
      </c>
      <c r="B472" s="18" t="n">
        <v>0</v>
      </c>
      <c r="C472" s="73" t="n">
        <v>0</v>
      </c>
      <c r="D472" s="73" t="n">
        <v>0</v>
      </c>
      <c r="E472" s="73" t="n">
        <v>0</v>
      </c>
      <c r="F472" s="18" t="n">
        <v>0</v>
      </c>
      <c r="G472" s="20" t="n">
        <v>11</v>
      </c>
      <c r="H472" s="18" t="n">
        <v>0</v>
      </c>
      <c r="I472">
        <f t="array" ref="I472">IFERROR(INDEX($N$5:$N$271,MATCH(TRUE,EXACT(A472,$O$5:$O$271),)),"")</f>
        <v/>
      </c>
      <c r="J472" s="25">
        <f>IF(I472="","",IF(E472="","",G472))</f>
        <v/>
      </c>
      <c r="K472" s="26" t="n"/>
    </row>
    <row r="473">
      <c r="A473" s="15" t="inlineStr">
        <is>
          <t>Well Done</t>
        </is>
      </c>
      <c r="B473" s="18" t="n">
        <v>0</v>
      </c>
      <c r="C473" s="73" t="n">
        <v>0</v>
      </c>
      <c r="D473" s="73" t="n">
        <v>0</v>
      </c>
      <c r="E473" s="73" t="n">
        <v>0</v>
      </c>
      <c r="F473" s="18" t="n">
        <v>0</v>
      </c>
      <c r="G473" s="20" t="n">
        <v>12</v>
      </c>
      <c r="H473" s="18" t="n">
        <v>0</v>
      </c>
      <c r="I473">
        <f t="array" ref="I473">IFERROR(INDEX($N$5:$N$271,MATCH(TRUE,EXACT(A473,$O$5:$O$271),)),"")</f>
        <v/>
      </c>
      <c r="J473" s="25">
        <f>IF(I473="","",IF(E473="","",G473))</f>
        <v/>
      </c>
      <c r="K473" s="26" t="n"/>
    </row>
    <row r="474">
      <c r="A474" s="15" t="inlineStr">
        <is>
          <t>Well Done</t>
        </is>
      </c>
      <c r="B474" s="18" t="n">
        <v>0</v>
      </c>
      <c r="C474" s="73" t="n">
        <v>0</v>
      </c>
      <c r="D474" s="73" t="n">
        <v>0</v>
      </c>
      <c r="E474" s="73" t="n">
        <v>0</v>
      </c>
      <c r="F474" s="18" t="n">
        <v>0</v>
      </c>
      <c r="G474" s="20" t="n">
        <v>15</v>
      </c>
      <c r="H474" s="18" t="n">
        <v>0</v>
      </c>
      <c r="I474">
        <f t="array" ref="I474">IFERROR(INDEX($N$5:$N$271,MATCH(TRUE,EXACT(A474,$O$5:$O$271),)),"")</f>
        <v/>
      </c>
      <c r="J474" s="25">
        <f>IF(I474="","",IF(E474="","",G474))</f>
        <v/>
      </c>
      <c r="K474" s="26" t="n"/>
    </row>
    <row r="475">
      <c r="A475" s="15" t="inlineStr">
        <is>
          <t>Wheat Free</t>
        </is>
      </c>
      <c r="B475" s="18" t="n">
        <v>0</v>
      </c>
      <c r="C475" s="73" t="n">
        <v>0</v>
      </c>
      <c r="D475" s="73" t="n">
        <v>0</v>
      </c>
      <c r="E475" s="73" t="n">
        <v>0</v>
      </c>
      <c r="F475" s="18" t="n">
        <v>0</v>
      </c>
      <c r="G475" s="20" t="n">
        <v>11</v>
      </c>
      <c r="H475" s="18" t="n">
        <v>0</v>
      </c>
      <c r="I475">
        <f t="array" ref="I475">IFERROR(INDEX($N$5:$N$271,MATCH(TRUE,EXACT(A475,$O$5:$O$271),)),"")</f>
        <v/>
      </c>
      <c r="J475" s="25">
        <f>IF(I475="","",IF(E475="","",G475))</f>
        <v/>
      </c>
      <c r="K475" s="26" t="n"/>
    </row>
    <row r="476">
      <c r="A476" s="15" t="inlineStr">
        <is>
          <t>White</t>
        </is>
      </c>
      <c r="B476" s="18" t="n">
        <v>0</v>
      </c>
      <c r="C476" s="73" t="n">
        <v>0</v>
      </c>
      <c r="D476" s="73" t="n">
        <v>0</v>
      </c>
      <c r="E476" s="73" t="n">
        <v>0</v>
      </c>
      <c r="F476" s="18" t="n">
        <v>0</v>
      </c>
      <c r="G476" s="20" t="n">
        <v>162</v>
      </c>
      <c r="H476" s="18" t="n">
        <v>0</v>
      </c>
      <c r="I476">
        <f t="array" ref="I476">IFERROR(INDEX($N$5:$N$271,MATCH(TRUE,EXACT(A476,$O$5:$O$271),)),"")</f>
        <v/>
      </c>
      <c r="J476" s="25">
        <f>IF(I476="","",IF(E476="","",G476))</f>
        <v/>
      </c>
      <c r="K476" s="26" t="n"/>
    </row>
    <row r="477">
      <c r="A477" s="15" t="inlineStr">
        <is>
          <t>White Toast</t>
        </is>
      </c>
      <c r="B477" s="18" t="n">
        <v>0</v>
      </c>
      <c r="C477" s="73" t="n">
        <v>0</v>
      </c>
      <c r="D477" s="73" t="n">
        <v>0</v>
      </c>
      <c r="E477" s="73" t="n">
        <v>0</v>
      </c>
      <c r="F477" s="18" t="n">
        <v>0</v>
      </c>
      <c r="G477" s="20" t="n">
        <v>256</v>
      </c>
      <c r="H477" s="18" t="n">
        <v>0</v>
      </c>
      <c r="I477">
        <f t="array" ref="I477">IFERROR(INDEX($N$5:$N$271,MATCH(TRUE,EXACT(A477,$O$5:$O$271),)),"")</f>
        <v/>
      </c>
      <c r="J477" s="25">
        <f>IF(I477="","",IF(E477="","",G477))</f>
        <v/>
      </c>
      <c r="K477" s="26" t="n"/>
    </row>
    <row r="478">
      <c r="A478" s="15" t="inlineStr">
        <is>
          <t>WITH</t>
        </is>
      </c>
      <c r="B478" s="18" t="n">
        <v>0</v>
      </c>
      <c r="C478" s="73" t="n">
        <v>0</v>
      </c>
      <c r="D478" s="73" t="n">
        <v>0</v>
      </c>
      <c r="E478" s="73" t="n">
        <v>0</v>
      </c>
      <c r="F478" s="18" t="n">
        <v>0</v>
      </c>
      <c r="G478" s="20" t="n">
        <v>8</v>
      </c>
      <c r="H478" s="18" t="n">
        <v>0</v>
      </c>
      <c r="I478">
        <f t="array" ref="I478">IFERROR(INDEX($N$5:$N$271,MATCH(TRUE,EXACT(A478,$O$5:$O$271),)),"")</f>
        <v/>
      </c>
      <c r="J478" s="25">
        <f>IF(I478="","",IF(E478="","",G478))</f>
        <v/>
      </c>
      <c r="K478" s="26" t="n"/>
    </row>
    <row r="479">
      <c r="A479" s="15" t="inlineStr">
        <is>
          <t>with Banana</t>
        </is>
      </c>
      <c r="B479" s="18" t="n">
        <v>0</v>
      </c>
      <c r="C479" s="73" t="n">
        <v>0</v>
      </c>
      <c r="D479" s="73" t="n">
        <v>0</v>
      </c>
      <c r="E479" s="73" t="n">
        <v>0</v>
      </c>
      <c r="F479" s="18" t="n">
        <v>0</v>
      </c>
      <c r="G479" s="20" t="n">
        <v>7</v>
      </c>
      <c r="H479" s="18" t="n">
        <v>0</v>
      </c>
      <c r="I479">
        <f t="array" ref="I479">IFERROR(INDEX($N$5:$N$271,MATCH(TRUE,EXACT(A479,$O$5:$O$271),)),"")</f>
        <v/>
      </c>
      <c r="J479" s="25">
        <f>IF(I479="","",IF(E479="","",G479))</f>
        <v/>
      </c>
      <c r="K479" s="26" t="n"/>
    </row>
    <row r="480">
      <c r="A480" s="15" t="inlineStr">
        <is>
          <t>with Banana</t>
        </is>
      </c>
      <c r="B480" s="18" t="n">
        <v>0</v>
      </c>
      <c r="C480" s="73" t="n">
        <v>0</v>
      </c>
      <c r="D480" s="73" t="n">
        <v>0</v>
      </c>
      <c r="E480" s="73" t="n">
        <v>0</v>
      </c>
      <c r="F480" s="18" t="n">
        <v>0</v>
      </c>
      <c r="G480" s="20" t="n">
        <v>2</v>
      </c>
      <c r="H480" s="18" t="n">
        <v>0</v>
      </c>
      <c r="I480">
        <f t="array" ref="I480">IFERROR(INDEX($N$5:$N$271,MATCH(TRUE,EXACT(A480,$O$5:$O$271),)),"")</f>
        <v/>
      </c>
      <c r="J480" s="25">
        <f>IF(I480="","",IF(E480="","",G480))</f>
        <v/>
      </c>
      <c r="K480" s="26" t="n"/>
    </row>
    <row r="481">
      <c r="A481" s="15" t="inlineStr">
        <is>
          <t>with Berries</t>
        </is>
      </c>
      <c r="B481" s="18" t="n">
        <v>0</v>
      </c>
      <c r="C481" s="73" t="n">
        <v>0</v>
      </c>
      <c r="D481" s="73" t="n">
        <v>0</v>
      </c>
      <c r="E481" s="73" t="n">
        <v>0</v>
      </c>
      <c r="F481" s="18" t="n">
        <v>0</v>
      </c>
      <c r="G481" s="20" t="n">
        <v>8</v>
      </c>
      <c r="H481" s="18" t="n">
        <v>0</v>
      </c>
      <c r="I481">
        <f t="array" ref="I481">IFERROR(INDEX($N$5:$N$271,MATCH(TRUE,EXACT(A481,$O$5:$O$271),)),"")</f>
        <v/>
      </c>
      <c r="J481" s="25">
        <f>IF(I481="","",IF(E481="","",G481))</f>
        <v/>
      </c>
      <c r="K481" s="26" t="n"/>
    </row>
    <row r="482">
      <c r="A482" s="15" t="inlineStr">
        <is>
          <t>with Berries</t>
        </is>
      </c>
      <c r="B482" s="18" t="n">
        <v>0</v>
      </c>
      <c r="C482" s="73" t="n">
        <v>0</v>
      </c>
      <c r="D482" s="73" t="n">
        <v>0</v>
      </c>
      <c r="E482" s="73" t="n">
        <v>0</v>
      </c>
      <c r="F482" s="18" t="n">
        <v>0</v>
      </c>
      <c r="G482" s="20" t="n">
        <v>21</v>
      </c>
      <c r="H482" s="18" t="n">
        <v>0</v>
      </c>
      <c r="I482">
        <f t="array" ref="I482">IFERROR(INDEX($N$5:$N$271,MATCH(TRUE,EXACT(A482,$O$5:$O$271),)),"")</f>
        <v/>
      </c>
      <c r="J482" s="25">
        <f>IF(I482="","",IF(E482="","",G482))</f>
        <v/>
      </c>
      <c r="K482" s="26" t="n"/>
    </row>
    <row r="483">
      <c r="A483" s="15" t="inlineStr">
        <is>
          <t>with Chocolate Sauce</t>
        </is>
      </c>
      <c r="B483" s="18" t="n">
        <v>0</v>
      </c>
      <c r="C483" s="73" t="n">
        <v>0</v>
      </c>
      <c r="D483" s="73" t="n">
        <v>0</v>
      </c>
      <c r="E483" s="73" t="n">
        <v>0</v>
      </c>
      <c r="F483" s="18" t="n">
        <v>0</v>
      </c>
      <c r="G483" s="20" t="n">
        <v>2</v>
      </c>
      <c r="H483" s="18" t="n">
        <v>0</v>
      </c>
      <c r="I483">
        <f t="array" ref="I483">IFERROR(INDEX($N$5:$N$271,MATCH(TRUE,EXACT(A483,$O$5:$O$271),)),"")</f>
        <v/>
      </c>
      <c r="J483" s="25">
        <f>IF(I483="","",IF(E483="","",G483))</f>
        <v/>
      </c>
      <c r="K483" s="26" t="n"/>
    </row>
    <row r="484">
      <c r="A484" s="15" t="inlineStr">
        <is>
          <t>with Compote</t>
        </is>
      </c>
      <c r="B484" s="18" t="n">
        <v>0</v>
      </c>
      <c r="C484" s="73" t="n">
        <v>0</v>
      </c>
      <c r="D484" s="73" t="n">
        <v>0</v>
      </c>
      <c r="E484" s="73" t="n">
        <v>0</v>
      </c>
      <c r="F484" s="18" t="n">
        <v>0</v>
      </c>
      <c r="G484" s="20" t="n">
        <v>2</v>
      </c>
      <c r="H484" s="18" t="n">
        <v>0</v>
      </c>
      <c r="I484">
        <f t="array" ref="I484">IFERROR(INDEX($N$5:$N$271,MATCH(TRUE,EXACT(A484,$O$5:$O$271),)),"")</f>
        <v/>
      </c>
      <c r="J484" s="25">
        <f>IF(I484="","",IF(E484="","",G484))</f>
        <v/>
      </c>
      <c r="K484" s="26" t="n"/>
    </row>
    <row r="485">
      <c r="A485" s="15" t="inlineStr">
        <is>
          <t>With Compotes</t>
        </is>
      </c>
      <c r="B485" s="18" t="n">
        <v>0</v>
      </c>
      <c r="C485" s="73" t="n">
        <v>0</v>
      </c>
      <c r="D485" s="73" t="n">
        <v>0</v>
      </c>
      <c r="E485" s="73" t="n">
        <v>0</v>
      </c>
      <c r="F485" s="18" t="n">
        <v>0</v>
      </c>
      <c r="G485" s="20" t="n">
        <v>17</v>
      </c>
      <c r="H485" s="18" t="n">
        <v>0</v>
      </c>
      <c r="I485">
        <f t="array" ref="I485">IFERROR(INDEX($N$5:$N$271,MATCH(TRUE,EXACT(A485,$O$5:$O$271),)),"")</f>
        <v/>
      </c>
      <c r="J485" s="25">
        <f>IF(I485="","",IF(E485="","",G485))</f>
        <v/>
      </c>
      <c r="K485" s="26" t="n"/>
    </row>
    <row r="486">
      <c r="A486" s="15" t="inlineStr">
        <is>
          <t>with Nutella</t>
        </is>
      </c>
      <c r="B486" s="18" t="n">
        <v>0</v>
      </c>
      <c r="C486" s="73" t="n">
        <v>0</v>
      </c>
      <c r="D486" s="73" t="n">
        <v>0</v>
      </c>
      <c r="E486" s="73" t="n">
        <v>0</v>
      </c>
      <c r="F486" s="18" t="n">
        <v>0</v>
      </c>
      <c r="G486" s="20" t="n">
        <v>3</v>
      </c>
      <c r="H486" s="18" t="n">
        <v>0</v>
      </c>
      <c r="I486">
        <f t="array" ref="I486">IFERROR(INDEX($N$5:$N$271,MATCH(TRUE,EXACT(A486,$O$5:$O$271),)),"")</f>
        <v/>
      </c>
      <c r="J486" s="25">
        <f>IF(I486="","",IF(E486="","",G486))</f>
        <v/>
      </c>
      <c r="K486" s="26" t="n"/>
    </row>
    <row r="487">
      <c r="A487" s="15" t="inlineStr">
        <is>
          <t>with Syrup</t>
        </is>
      </c>
      <c r="B487" s="18" t="n">
        <v>0</v>
      </c>
      <c r="C487" s="73" t="n">
        <v>0</v>
      </c>
      <c r="D487" s="73" t="n">
        <v>0</v>
      </c>
      <c r="E487" s="73" t="n">
        <v>0</v>
      </c>
      <c r="F487" s="18" t="n">
        <v>0</v>
      </c>
      <c r="G487" s="20" t="n">
        <v>2</v>
      </c>
      <c r="H487" s="18" t="n">
        <v>0</v>
      </c>
      <c r="I487">
        <f t="array" ref="I487">IFERROR(INDEX($N$5:$N$271,MATCH(TRUE,EXACT(A487,$O$5:$O$271),)),"")</f>
        <v/>
      </c>
      <c r="J487" s="25">
        <f>IF(I487="","",IF(E487="","",G487))</f>
        <v/>
      </c>
      <c r="K487" s="26" t="n"/>
    </row>
    <row r="488">
      <c r="A488" s="15" t="inlineStr">
        <is>
          <t>with Syrup</t>
        </is>
      </c>
      <c r="B488" s="18" t="n">
        <v>0</v>
      </c>
      <c r="C488" s="73" t="n">
        <v>0</v>
      </c>
      <c r="D488" s="73" t="n">
        <v>0</v>
      </c>
      <c r="E488" s="73" t="n">
        <v>0</v>
      </c>
      <c r="F488" s="18" t="n">
        <v>0</v>
      </c>
      <c r="G488" s="20" t="n">
        <v>110</v>
      </c>
      <c r="H488" s="18" t="n">
        <v>0</v>
      </c>
      <c r="I488">
        <f t="array" ref="I488">IFERROR(INDEX($N$5:$N$271,MATCH(TRUE,EXACT(A488,$O$5:$O$271),)),"")</f>
        <v/>
      </c>
      <c r="J488" s="25">
        <f>IF(I488="","",IF(E488="","",G488))</f>
        <v/>
      </c>
      <c r="K488" s="26" t="n"/>
    </row>
    <row r="489">
      <c r="A489" s="15" t="inlineStr">
        <is>
          <t>x2 min</t>
        </is>
      </c>
      <c r="B489" s="18" t="n">
        <v>0</v>
      </c>
      <c r="C489" s="73" t="n">
        <v>0</v>
      </c>
      <c r="D489" s="73" t="n">
        <v>0</v>
      </c>
      <c r="E489" s="73" t="n">
        <v>0</v>
      </c>
      <c r="F489" s="18" t="n">
        <v>0</v>
      </c>
      <c r="G489" s="20" t="n">
        <v>6</v>
      </c>
      <c r="H489" s="18" t="n">
        <v>0</v>
      </c>
      <c r="I489">
        <f t="array" ref="I489">IFERROR(INDEX($N$5:$N$271,MATCH(TRUE,EXACT(A489,$O$5:$O$271),)),"")</f>
        <v/>
      </c>
      <c r="J489" s="25">
        <f>IF(I489="","",IF(E489="","",G489))</f>
        <v/>
      </c>
      <c r="K489" s="26" t="n"/>
    </row>
    <row r="490">
      <c r="A490" s="15" t="inlineStr">
        <is>
          <t>x3 Min</t>
        </is>
      </c>
      <c r="B490" s="18" t="n">
        <v>0</v>
      </c>
      <c r="C490" s="73" t="n">
        <v>0</v>
      </c>
      <c r="D490" s="73" t="n">
        <v>0</v>
      </c>
      <c r="E490" s="73" t="n">
        <v>0</v>
      </c>
      <c r="F490" s="18" t="n">
        <v>0</v>
      </c>
      <c r="G490" s="20" t="n">
        <v>14</v>
      </c>
      <c r="H490" s="18" t="n">
        <v>0</v>
      </c>
      <c r="I490">
        <f t="array" ref="I490">IFERROR(INDEX($N$5:$N$271,MATCH(TRUE,EXACT(A490,$O$5:$O$271),)),"")</f>
        <v/>
      </c>
      <c r="J490" s="25">
        <f>IF(I490="","",IF(E490="","",G490))</f>
        <v/>
      </c>
      <c r="K490" s="26" t="n"/>
    </row>
    <row r="491">
      <c r="A491" s="15" t="inlineStr">
        <is>
          <t>x4 Min</t>
        </is>
      </c>
      <c r="B491" s="18" t="n">
        <v>0</v>
      </c>
      <c r="C491" s="73" t="n">
        <v>0</v>
      </c>
      <c r="D491" s="73" t="n">
        <v>0</v>
      </c>
      <c r="E491" s="73" t="n">
        <v>0</v>
      </c>
      <c r="F491" s="18" t="n">
        <v>0</v>
      </c>
      <c r="G491" s="20" t="n">
        <v>4</v>
      </c>
      <c r="H491" s="18" t="n">
        <v>0</v>
      </c>
      <c r="I491">
        <f t="array" ref="I491">IFERROR(INDEX($N$5:$N$271,MATCH(TRUE,EXACT(A491,$O$5:$O$271),)),"")</f>
        <v/>
      </c>
      <c r="J491" s="25">
        <f>IF(I491="","",IF(E491="","",G491))</f>
        <v/>
      </c>
      <c r="K491" s="26" t="n"/>
    </row>
    <row r="492">
      <c r="A492" s="15" t="inlineStr">
        <is>
          <t>x5 Min</t>
        </is>
      </c>
      <c r="B492" s="18" t="n">
        <v>0</v>
      </c>
      <c r="C492" s="73" t="n">
        <v>0</v>
      </c>
      <c r="D492" s="73" t="n">
        <v>0</v>
      </c>
      <c r="E492" s="73" t="n">
        <v>0</v>
      </c>
      <c r="F492" s="18" t="n">
        <v>0</v>
      </c>
      <c r="G492" s="20" t="n">
        <v>6</v>
      </c>
      <c r="H492" s="18" t="n">
        <v>0</v>
      </c>
      <c r="I492">
        <f t="array" ref="I492">IFERROR(INDEX($N$5:$N$271,MATCH(TRUE,EXACT(A492,$O$5:$O$271),)),"")</f>
        <v/>
      </c>
      <c r="J492" s="25">
        <f>IF(I492="","",IF(E492="","",G492))</f>
        <v/>
      </c>
      <c r="K492" s="26" t="n"/>
    </row>
    <row r="493">
      <c r="A493" s="15" t="inlineStr">
        <is>
          <t>x7 Min</t>
        </is>
      </c>
      <c r="B493" s="18" t="n">
        <v>0</v>
      </c>
      <c r="C493" s="73" t="n">
        <v>0</v>
      </c>
      <c r="D493" s="73" t="n">
        <v>0</v>
      </c>
      <c r="E493" s="73" t="n">
        <v>0</v>
      </c>
      <c r="F493" s="18" t="n">
        <v>0</v>
      </c>
      <c r="G493" s="20" t="n">
        <v>1</v>
      </c>
      <c r="H493" s="18" t="n">
        <v>0</v>
      </c>
      <c r="I493">
        <f t="array" ref="I493">IFERROR(INDEX($N$5:$N$271,MATCH(TRUE,EXACT(A493,$O$5:$O$271),)),"")</f>
        <v/>
      </c>
      <c r="J493" s="25">
        <f>IF(I493="","",IF(E493="","",G493))</f>
        <v/>
      </c>
      <c r="K493" s="26" t="n"/>
    </row>
    <row r="494">
      <c r="A494" s="15" t="inlineStr">
        <is>
          <t>x8 Min</t>
        </is>
      </c>
      <c r="B494" s="18" t="n">
        <v>0</v>
      </c>
      <c r="C494" s="73" t="n">
        <v>0</v>
      </c>
      <c r="D494" s="73" t="n">
        <v>0</v>
      </c>
      <c r="E494" s="73" t="n">
        <v>0</v>
      </c>
      <c r="F494" s="18" t="n">
        <v>0</v>
      </c>
      <c r="G494" s="20" t="n">
        <v>3</v>
      </c>
      <c r="H494" s="18" t="n">
        <v>0</v>
      </c>
      <c r="I494">
        <f t="array" ref="I494">IFERROR(INDEX($N$5:$N$271,MATCH(TRUE,EXACT(A494,$O$5:$O$271),)),"")</f>
        <v/>
      </c>
      <c r="J494" s="25">
        <f>IF(I494="","",IF(E494="","",G494))</f>
        <v/>
      </c>
      <c r="K494" s="26" t="n"/>
    </row>
    <row r="495">
      <c r="A495" s="17" t="inlineStr">
        <is>
          <t>Snacks</t>
        </is>
      </c>
      <c r="B495" s="13" t="n">
        <v>769</v>
      </c>
      <c r="C495" s="70" t="n">
        <v>0.00493074199010902</v>
      </c>
      <c r="D495" s="70" t="n">
        <v>0.00679269815863998</v>
      </c>
      <c r="E495" s="15" t="inlineStr"/>
      <c r="F495" s="13" t="n">
        <v>0</v>
      </c>
      <c r="G495" s="16" t="n">
        <v>91</v>
      </c>
      <c r="H495" s="13" t="n">
        <v>8.450549450549451</v>
      </c>
      <c r="I495">
        <f t="array" ref="I495">IFERROR(INDEX($N$5:$N$271,MATCH(TRUE,EXACT(A495,$O$5:$O$271),)),"")</f>
        <v/>
      </c>
      <c r="J495" s="25">
        <f>IF(I495="","",IF(E495="","",G495))</f>
        <v/>
      </c>
      <c r="K495" s="26" t="n"/>
    </row>
    <row r="496">
      <c r="A496" s="15" t="inlineStr">
        <is>
          <t>Corn Chips Guacamole</t>
        </is>
      </c>
      <c r="B496" s="18" t="n">
        <v>440</v>
      </c>
      <c r="C496" s="73" t="n">
        <v>0.00282123078757863</v>
      </c>
      <c r="D496" s="73" t="n">
        <v>0.00388658932353913</v>
      </c>
      <c r="E496" s="73" t="n">
        <v>0.572171651495449</v>
      </c>
      <c r="F496" s="18" t="n">
        <v>0</v>
      </c>
      <c r="G496" s="20" t="n">
        <v>44</v>
      </c>
      <c r="H496" s="18" t="n">
        <v>10</v>
      </c>
      <c r="I496">
        <f t="array" ref="I496">IFERROR(INDEX($N$5:$N$271,MATCH(TRUE,EXACT(A496,$O$5:$O$271),)),"")</f>
        <v/>
      </c>
      <c r="J496" s="25">
        <f>IF(I496="","",IF(E496="","",G496))</f>
        <v/>
      </c>
      <c r="K496" s="26" t="n">
        <v>3</v>
      </c>
    </row>
    <row r="497">
      <c r="A497" s="15" t="inlineStr">
        <is>
          <t>Chicken Wings</t>
        </is>
      </c>
      <c r="B497" s="18" t="n">
        <v>280</v>
      </c>
      <c r="C497" s="73" t="n">
        <v>0.00179532868300459</v>
      </c>
      <c r="D497" s="73" t="n">
        <v>0.00247328411497945</v>
      </c>
      <c r="E497" s="73" t="n">
        <v>0.364109232769831</v>
      </c>
      <c r="F497" s="18" t="n">
        <v>0</v>
      </c>
      <c r="G497" s="20" t="n">
        <v>40</v>
      </c>
      <c r="H497" s="18" t="n">
        <v>7</v>
      </c>
      <c r="I497">
        <f t="array" ref="I497">IFERROR(INDEX($N$5:$N$271,MATCH(TRUE,EXACT(A497,$O$5:$O$271),)),"")</f>
        <v/>
      </c>
      <c r="J497" s="25">
        <f>IF(I497="","",IF(E497="","",G497))</f>
        <v/>
      </c>
      <c r="K497" s="26" t="n">
        <v>5</v>
      </c>
    </row>
    <row r="498">
      <c r="A498" s="15" t="inlineStr">
        <is>
          <t>Brie Fritters</t>
        </is>
      </c>
      <c r="B498" s="18" t="n">
        <v>49</v>
      </c>
      <c r="C498" s="73" t="n">
        <v>0.000314182519525802</v>
      </c>
      <c r="D498" s="73" t="n">
        <v>0.000432824720121403</v>
      </c>
      <c r="E498" s="73" t="n">
        <v>0.0637191157347204</v>
      </c>
      <c r="F498" s="18" t="n">
        <v>0</v>
      </c>
      <c r="G498" s="20" t="n">
        <v>7</v>
      </c>
      <c r="H498" s="18" t="n">
        <v>7</v>
      </c>
      <c r="I498">
        <f t="array" ref="I498">IFERROR(INDEX($N$5:$N$271,MATCH(TRUE,EXACT(A498,$O$5:$O$271),)),"")</f>
        <v/>
      </c>
      <c r="J498" s="25">
        <f>IF(I498="","",IF(E498="","",G498))</f>
        <v/>
      </c>
      <c r="K498" s="26" t="n">
        <v>12</v>
      </c>
    </row>
    <row r="499">
      <c r="A499" s="17" t="inlineStr">
        <is>
          <t>Open Food</t>
        </is>
      </c>
      <c r="B499" s="13" t="n">
        <v>587</v>
      </c>
      <c r="C499" s="70" t="n">
        <v>0.00376377834615604</v>
      </c>
      <c r="D499" s="70" t="n">
        <v>0.00518506348390334</v>
      </c>
      <c r="E499" s="15" t="inlineStr"/>
      <c r="F499" s="13" t="n">
        <v>-100</v>
      </c>
      <c r="G499" s="16" t="n">
        <v>29</v>
      </c>
      <c r="H499" s="13" t="n">
        <v>20.2413793103448</v>
      </c>
      <c r="I499">
        <f t="array" ref="I499">IFERROR(INDEX($N$5:$N$271,MATCH(TRUE,EXACT(A499,$O$5:$O$271),)),"")</f>
        <v/>
      </c>
      <c r="J499" s="25">
        <f>IF(I499="","",IF(E499="","",G499))</f>
        <v/>
      </c>
      <c r="K499" s="26" t="n"/>
    </row>
    <row r="500">
      <c r="A500" s="15" t="inlineStr">
        <is>
          <t>Open Food IRD</t>
        </is>
      </c>
      <c r="B500" s="18" t="n">
        <v>587</v>
      </c>
      <c r="C500" s="73" t="n">
        <v>0.00376377834615604</v>
      </c>
      <c r="D500" s="73" t="n">
        <v>0.00518506348390334</v>
      </c>
      <c r="E500" s="73" t="n">
        <v>1</v>
      </c>
      <c r="F500" s="18" t="n">
        <v>-100</v>
      </c>
      <c r="G500" s="20" t="n">
        <v>29</v>
      </c>
      <c r="H500" s="18" t="n">
        <v>20.2413793103448</v>
      </c>
      <c r="I500">
        <f t="array" ref="I500">IFERROR(INDEX($N$5:$N$271,MATCH(TRUE,EXACT(A500,$O$5:$O$271),)),"")</f>
        <v/>
      </c>
      <c r="J500" s="25">
        <f>IF(I500="","",IF(E500="","",G500))</f>
        <v/>
      </c>
      <c r="K500" s="26" t="n"/>
    </row>
    <row r="501">
      <c r="A501" s="17" t="inlineStr">
        <is>
          <t>Vegetarian Dishes</t>
        </is>
      </c>
      <c r="B501" s="13" t="n">
        <v>172</v>
      </c>
      <c r="C501" s="70" t="n">
        <v>0.0011028447624171</v>
      </c>
      <c r="D501" s="70" t="n">
        <v>0.00151930309920166</v>
      </c>
      <c r="E501" s="15" t="inlineStr"/>
      <c r="F501" s="13" t="n">
        <v>0</v>
      </c>
      <c r="G501" s="16" t="n">
        <v>8</v>
      </c>
      <c r="H501" s="13" t="n">
        <v>21.5</v>
      </c>
      <c r="I501">
        <f t="array" ref="I501">IFERROR(INDEX($N$5:$N$271,MATCH(TRUE,EXACT(A501,$O$5:$O$271),)),"")</f>
        <v/>
      </c>
      <c r="J501" s="25">
        <f>IF(I501="","",IF(E501="","",G501))</f>
        <v/>
      </c>
      <c r="K501" s="26" t="n"/>
    </row>
    <row r="502">
      <c r="A502" s="15" t="inlineStr">
        <is>
          <t>Pepper Romano</t>
        </is>
      </c>
      <c r="B502" s="18" t="n">
        <v>110</v>
      </c>
      <c r="C502" s="73" t="n">
        <v>0.000705307696894658</v>
      </c>
      <c r="D502" s="73" t="n">
        <v>0.000971647330884782</v>
      </c>
      <c r="E502" s="73" t="n">
        <v>0.63953488372093</v>
      </c>
      <c r="F502" s="18" t="n">
        <v>0</v>
      </c>
      <c r="G502" s="20" t="n">
        <v>5</v>
      </c>
      <c r="H502" s="18" t="n">
        <v>22</v>
      </c>
      <c r="I502">
        <f t="array" ref="I502">IFERROR(INDEX($N$5:$N$271,MATCH(TRUE,EXACT(A502,$O$5:$O$271),)),"")</f>
        <v/>
      </c>
      <c r="J502" s="25">
        <f>IF(I502="","",IF(E502="","",G502))</f>
        <v/>
      </c>
      <c r="K502" s="26" t="n">
        <v>15</v>
      </c>
    </row>
    <row r="503">
      <c r="A503" s="15" t="inlineStr">
        <is>
          <t>Vegan Asparagus</t>
        </is>
      </c>
      <c r="B503" s="18" t="n">
        <v>24</v>
      </c>
      <c r="C503" s="73" t="n">
        <v>0.000153885315686107</v>
      </c>
      <c r="D503" s="73" t="n">
        <v>0.000211995781283952</v>
      </c>
      <c r="E503" s="73" t="n">
        <v>0.13953488372093</v>
      </c>
      <c r="F503" s="18" t="n">
        <v>0</v>
      </c>
      <c r="G503" s="20" t="n">
        <v>1</v>
      </c>
      <c r="H503" s="18" t="n">
        <v>24</v>
      </c>
      <c r="I503">
        <f t="array" ref="I503">IFERROR(INDEX($N$5:$N$271,MATCH(TRUE,EXACT(A503,$O$5:$O$271),)),"")</f>
        <v/>
      </c>
      <c r="J503" s="25">
        <f>IF(I503="","",IF(E503="","",G503))</f>
        <v/>
      </c>
      <c r="K503" s="26" t="n">
        <v>18</v>
      </c>
    </row>
    <row r="504">
      <c r="A504" s="15" t="inlineStr">
        <is>
          <t>Vegan Pasta</t>
        </is>
      </c>
      <c r="B504" s="18" t="n">
        <v>24</v>
      </c>
      <c r="C504" s="73" t="n">
        <v>0.000153885315686107</v>
      </c>
      <c r="D504" s="73" t="n">
        <v>0.000211995781283952</v>
      </c>
      <c r="E504" s="73" t="n">
        <v>0.13953488372093</v>
      </c>
      <c r="F504" s="18" t="n">
        <v>0</v>
      </c>
      <c r="G504" s="20" t="n">
        <v>1</v>
      </c>
      <c r="H504" s="18" t="n">
        <v>24</v>
      </c>
      <c r="I504">
        <f t="array" ref="I504">IFERROR(INDEX($N$5:$N$271,MATCH(TRUE,EXACT(A504,$O$5:$O$271),)),"")</f>
        <v/>
      </c>
      <c r="J504" s="25">
        <f>IF(I504="","",IF(E504="","",G504))</f>
        <v/>
      </c>
      <c r="K504" s="26" t="n">
        <v>19</v>
      </c>
    </row>
    <row r="505">
      <c r="A505" s="15" t="inlineStr">
        <is>
          <t>Vegan Risotto</t>
        </is>
      </c>
      <c r="B505" s="18" t="n">
        <v>14</v>
      </c>
      <c r="C505" s="73" t="n">
        <v>8.97664341502293e-05</v>
      </c>
      <c r="D505" s="73" t="n">
        <v>0.000123664205748972</v>
      </c>
      <c r="E505" s="73" t="n">
        <v>0.08139534883720929</v>
      </c>
      <c r="F505" s="18" t="n">
        <v>0</v>
      </c>
      <c r="G505" s="20" t="n">
        <v>1</v>
      </c>
      <c r="H505" s="18" t="n">
        <v>14</v>
      </c>
      <c r="I505">
        <f t="array" ref="I505">IFERROR(INDEX($N$5:$N$271,MATCH(TRUE,EXACT(A505,$O$5:$O$271),)),"")</f>
        <v/>
      </c>
      <c r="J505" s="25">
        <f>IF(I505="","",IF(E505="","",G505))</f>
        <v/>
      </c>
      <c r="K505" s="26" t="n">
        <v>20</v>
      </c>
    </row>
    <row r="506">
      <c r="A506" s="17" t="inlineStr">
        <is>
          <t>VIP Setups</t>
        </is>
      </c>
      <c r="B506" s="13" t="n">
        <v>80</v>
      </c>
      <c r="C506" s="70" t="n">
        <v>0.000512951052287024</v>
      </c>
      <c r="D506" s="70" t="n">
        <v>0.000706652604279841</v>
      </c>
      <c r="E506" s="15" t="inlineStr"/>
      <c r="F506" s="13" t="n">
        <v>0</v>
      </c>
      <c r="G506" s="16" t="n">
        <v>1600</v>
      </c>
      <c r="H506" s="13" t="n">
        <v>0.05</v>
      </c>
      <c r="I506">
        <f t="array" ref="I506">IFERROR(INDEX($N$5:$N$271,MATCH(TRUE,EXACT(A506,$O$5:$O$271),)),"")</f>
        <v/>
      </c>
      <c r="J506" s="25">
        <f>IF(I506="","",IF(E506="","",G506))</f>
        <v/>
      </c>
      <c r="K506" s="26" t="n"/>
    </row>
    <row r="507">
      <c r="A507" s="15" t="inlineStr">
        <is>
          <t>1 Strawberry AMEN</t>
        </is>
      </c>
      <c r="B507" s="18" t="n">
        <v>45</v>
      </c>
      <c r="C507" s="73" t="n">
        <v>0.000288534966911451</v>
      </c>
      <c r="D507" s="73" t="n">
        <v>0.000397492089907411</v>
      </c>
      <c r="E507" s="73" t="n">
        <v>0.5625</v>
      </c>
      <c r="F507" s="18" t="n">
        <v>0</v>
      </c>
      <c r="G507" s="20" t="n">
        <v>30</v>
      </c>
      <c r="H507" s="18" t="n">
        <v>1.5</v>
      </c>
      <c r="I507">
        <f t="array" ref="I507">IFERROR(INDEX($N$5:$N$271,MATCH(TRUE,EXACT(A507,$O$5:$O$271),)),"")</f>
        <v/>
      </c>
      <c r="J507" s="25">
        <f>IF(I507="","",IF(E507="","",G507))</f>
        <v/>
      </c>
      <c r="K507" s="26" t="n"/>
    </row>
    <row r="508">
      <c r="A508" s="15" t="inlineStr">
        <is>
          <t>Cake £35</t>
        </is>
      </c>
      <c r="B508" s="18" t="n">
        <v>35</v>
      </c>
      <c r="C508" s="73" t="n">
        <v>0.000224416085375573</v>
      </c>
      <c r="D508" s="73" t="n">
        <v>0.000309160514372431</v>
      </c>
      <c r="E508" s="73" t="n">
        <v>0.4375</v>
      </c>
      <c r="F508" s="18" t="n">
        <v>0</v>
      </c>
      <c r="G508" s="20" t="n">
        <v>1</v>
      </c>
      <c r="H508" s="18" t="n">
        <v>35</v>
      </c>
      <c r="I508">
        <f t="array" ref="I508">IFERROR(INDEX($N$5:$N$271,MATCH(TRUE,EXACT(A508,$O$5:$O$271),)),"")</f>
        <v/>
      </c>
      <c r="J508" s="25">
        <f>IF(I508="","",IF(E508="","",G508))</f>
        <v/>
      </c>
      <c r="K508" s="26" t="n"/>
    </row>
    <row r="509">
      <c r="A509" s="15" t="inlineStr">
        <is>
          <t>3 Cookies/Pastry AMEN</t>
        </is>
      </c>
      <c r="B509" s="18" t="n">
        <v>0</v>
      </c>
      <c r="C509" s="73" t="n">
        <v>0</v>
      </c>
      <c r="D509" s="73" t="n">
        <v>0</v>
      </c>
      <c r="E509" s="73" t="n">
        <v>0</v>
      </c>
      <c r="F509" s="18" t="n">
        <v>0</v>
      </c>
      <c r="G509" s="20" t="n">
        <v>19</v>
      </c>
      <c r="H509" s="18" t="n">
        <v>0</v>
      </c>
      <c r="I509">
        <f t="array" ref="I509">IFERROR(INDEX($N$5:$N$271,MATCH(TRUE,EXACT(A509,$O$5:$O$271),)),"")</f>
        <v/>
      </c>
      <c r="J509" s="25">
        <f>IF(I509="","",IF(E509="","",G509))</f>
        <v/>
      </c>
      <c r="K509" s="26" t="n"/>
    </row>
    <row r="510">
      <c r="A510" s="15" t="inlineStr">
        <is>
          <t>Baklava AMEN</t>
        </is>
      </c>
      <c r="B510" s="18" t="n">
        <v>0</v>
      </c>
      <c r="C510" s="73" t="n">
        <v>0</v>
      </c>
      <c r="D510" s="73" t="n">
        <v>0</v>
      </c>
      <c r="E510" s="73" t="n">
        <v>0</v>
      </c>
      <c r="F510" s="18" t="n">
        <v>0</v>
      </c>
      <c r="G510" s="20" t="n">
        <v>2</v>
      </c>
      <c r="H510" s="18" t="n">
        <v>0</v>
      </c>
      <c r="I510">
        <f t="array" ref="I510">IFERROR(INDEX($N$5:$N$271,MATCH(TRUE,EXACT(A510,$O$5:$O$271),)),"")</f>
        <v/>
      </c>
      <c r="J510" s="25">
        <f>IF(I510="","",IF(E510="","",G510))</f>
        <v/>
      </c>
      <c r="K510" s="26" t="n"/>
    </row>
    <row r="511">
      <c r="A511" s="15" t="inlineStr">
        <is>
          <t>Bowl Berries AMEN</t>
        </is>
      </c>
      <c r="B511" s="18" t="n">
        <v>0</v>
      </c>
      <c r="C511" s="73" t="n">
        <v>0</v>
      </c>
      <c r="D511" s="73" t="n">
        <v>0</v>
      </c>
      <c r="E511" s="73" t="n">
        <v>0</v>
      </c>
      <c r="F511" s="18" t="n">
        <v>0</v>
      </c>
      <c r="G511" s="20" t="n">
        <v>37</v>
      </c>
      <c r="H511" s="18" t="n">
        <v>0</v>
      </c>
      <c r="I511">
        <f t="array" ref="I511">IFERROR(INDEX($N$5:$N$271,MATCH(TRUE,EXACT(A511,$O$5:$O$271),)),"")</f>
        <v/>
      </c>
      <c r="J511" s="25">
        <f>IF(I511="","",IF(E511="","",G511))</f>
        <v/>
      </c>
      <c r="K511" s="26" t="n"/>
    </row>
    <row r="512">
      <c r="A512" s="15" t="inlineStr">
        <is>
          <t>Bowl Mixed Nuts AMEN</t>
        </is>
      </c>
      <c r="B512" s="18" t="n">
        <v>0</v>
      </c>
      <c r="C512" s="73" t="n">
        <v>0</v>
      </c>
      <c r="D512" s="73" t="n">
        <v>0</v>
      </c>
      <c r="E512" s="73" t="n">
        <v>0</v>
      </c>
      <c r="F512" s="18" t="n">
        <v>0</v>
      </c>
      <c r="G512" s="20" t="n">
        <v>17</v>
      </c>
      <c r="H512" s="18" t="n">
        <v>0</v>
      </c>
      <c r="I512">
        <f t="array" ref="I512">IFERROR(INDEX($N$5:$N$271,MATCH(TRUE,EXACT(A512,$O$5:$O$271),)),"")</f>
        <v/>
      </c>
      <c r="J512" s="25">
        <f>IF(I512="","",IF(E512="","",G512))</f>
        <v/>
      </c>
      <c r="K512" s="26" t="n"/>
    </row>
    <row r="513">
      <c r="A513" s="15" t="inlineStr">
        <is>
          <t>Bowl Strawberry AMEN</t>
        </is>
      </c>
      <c r="B513" s="18" t="n">
        <v>0</v>
      </c>
      <c r="C513" s="73" t="n">
        <v>0</v>
      </c>
      <c r="D513" s="73" t="n">
        <v>0</v>
      </c>
      <c r="E513" s="73" t="n">
        <v>0</v>
      </c>
      <c r="F513" s="18" t="n">
        <v>0</v>
      </c>
      <c r="G513" s="20" t="n">
        <v>2</v>
      </c>
      <c r="H513" s="18" t="n">
        <v>0</v>
      </c>
      <c r="I513">
        <f t="array" ref="I513">IFERROR(INDEX($N$5:$N$271,MATCH(TRUE,EXACT(A513,$O$5:$O$271),)),"")</f>
        <v/>
      </c>
      <c r="J513" s="25">
        <f>IF(I513="","",IF(E513="","",G513))</f>
        <v/>
      </c>
      <c r="K513" s="26" t="n"/>
    </row>
    <row r="514">
      <c r="A514" s="15" t="inlineStr">
        <is>
          <t>Bowl Truffles AMEN</t>
        </is>
      </c>
      <c r="B514" s="18" t="n">
        <v>0</v>
      </c>
      <c r="C514" s="73" t="n">
        <v>0</v>
      </c>
      <c r="D514" s="73" t="n">
        <v>0</v>
      </c>
      <c r="E514" s="73" t="n">
        <v>0</v>
      </c>
      <c r="F514" s="18" t="n">
        <v>0</v>
      </c>
      <c r="G514" s="20" t="n">
        <v>56</v>
      </c>
      <c r="H514" s="18" t="n">
        <v>0</v>
      </c>
      <c r="I514">
        <f t="array" ref="I514">IFERROR(INDEX($N$5:$N$271,MATCH(TRUE,EXACT(A514,$O$5:$O$271),)),"")</f>
        <v/>
      </c>
      <c r="J514" s="25">
        <f>IF(I514="","",IF(E514="","",G514))</f>
        <v/>
      </c>
      <c r="K514" s="26" t="n"/>
    </row>
    <row r="515">
      <c r="A515" s="15" t="inlineStr">
        <is>
          <t>BT Cake AMEN</t>
        </is>
      </c>
      <c r="B515" s="18" t="n">
        <v>0</v>
      </c>
      <c r="C515" s="73" t="n">
        <v>0</v>
      </c>
      <c r="D515" s="73" t="n">
        <v>0</v>
      </c>
      <c r="E515" s="73" t="n">
        <v>0</v>
      </c>
      <c r="F515" s="18" t="n">
        <v>0</v>
      </c>
      <c r="G515" s="20" t="n">
        <v>2</v>
      </c>
      <c r="H515" s="18" t="n">
        <v>0</v>
      </c>
      <c r="I515">
        <f t="array" ref="I515">IFERROR(INDEX($N$5:$N$271,MATCH(TRUE,EXACT(A515,$O$5:$O$271),)),"")</f>
        <v/>
      </c>
      <c r="J515" s="25">
        <f>IF(I515="","",IF(E515="","",G515))</f>
        <v/>
      </c>
      <c r="K515" s="26" t="n"/>
    </row>
    <row r="516">
      <c r="A516" s="15" t="inlineStr">
        <is>
          <t>BT Medium Sliced Fruit AMEN</t>
        </is>
      </c>
      <c r="B516" s="18" t="n">
        <v>0</v>
      </c>
      <c r="C516" s="73" t="n">
        <v>0</v>
      </c>
      <c r="D516" s="73" t="n">
        <v>0</v>
      </c>
      <c r="E516" s="73" t="n">
        <v>0</v>
      </c>
      <c r="F516" s="18" t="n">
        <v>0</v>
      </c>
      <c r="G516" s="20" t="n">
        <v>24</v>
      </c>
      <c r="H516" s="18" t="n">
        <v>0</v>
      </c>
      <c r="I516">
        <f t="array" ref="I516">IFERROR(INDEX($N$5:$N$271,MATCH(TRUE,EXACT(A516,$O$5:$O$271),)),"")</f>
        <v/>
      </c>
      <c r="J516" s="25">
        <f>IF(I516="","",IF(E516="","",G516))</f>
        <v/>
      </c>
      <c r="K516" s="26" t="n"/>
    </row>
    <row r="517">
      <c r="A517" s="15" t="inlineStr">
        <is>
          <t>BT XL Sliced Fruit AMEN</t>
        </is>
      </c>
      <c r="B517" s="18" t="n">
        <v>0</v>
      </c>
      <c r="C517" s="73" t="n">
        <v>0</v>
      </c>
      <c r="D517" s="73" t="n">
        <v>0</v>
      </c>
      <c r="E517" s="73" t="n">
        <v>0</v>
      </c>
      <c r="F517" s="18" t="n">
        <v>0</v>
      </c>
      <c r="G517" s="20" t="n">
        <v>11</v>
      </c>
      <c r="H517" s="18" t="n">
        <v>0</v>
      </c>
      <c r="I517">
        <f t="array" ref="I517">IFERROR(INDEX($N$5:$N$271,MATCH(TRUE,EXACT(A517,$O$5:$O$271),)),"")</f>
        <v/>
      </c>
      <c r="J517" s="25">
        <f>IF(I517="","",IF(E517="","",G517))</f>
        <v/>
      </c>
      <c r="K517" s="26" t="n"/>
    </row>
    <row r="518">
      <c r="A518" s="15" t="inlineStr">
        <is>
          <t>Canele Bordelais AMEN</t>
        </is>
      </c>
      <c r="B518" s="18" t="n">
        <v>0</v>
      </c>
      <c r="C518" s="73" t="n">
        <v>0</v>
      </c>
      <c r="D518" s="73" t="n">
        <v>0</v>
      </c>
      <c r="E518" s="73" t="n">
        <v>0</v>
      </c>
      <c r="F518" s="18" t="n">
        <v>0</v>
      </c>
      <c r="G518" s="20" t="n">
        <v>1</v>
      </c>
      <c r="H518" s="18" t="n">
        <v>0</v>
      </c>
      <c r="I518">
        <f t="array" ref="I518">IFERROR(INDEX($N$5:$N$271,MATCH(TRUE,EXACT(A518,$O$5:$O$271),)),"")</f>
        <v/>
      </c>
      <c r="J518" s="25">
        <f>IF(I518="","",IF(E518="","",G518))</f>
        <v/>
      </c>
      <c r="K518" s="26" t="n"/>
    </row>
    <row r="519">
      <c r="A519" s="15" t="inlineStr">
        <is>
          <t>Celebration Cake AMEN</t>
        </is>
      </c>
      <c r="B519" s="18" t="n">
        <v>0</v>
      </c>
      <c r="C519" s="73" t="n">
        <v>0</v>
      </c>
      <c r="D519" s="73" t="n">
        <v>0</v>
      </c>
      <c r="E519" s="73" t="n">
        <v>0</v>
      </c>
      <c r="F519" s="18" t="n">
        <v>0</v>
      </c>
      <c r="G519" s="20" t="n">
        <v>7</v>
      </c>
      <c r="H519" s="18" t="n">
        <v>0</v>
      </c>
      <c r="I519">
        <f t="array" ref="I519">IFERROR(INDEX($N$5:$N$271,MATCH(TRUE,EXACT(A519,$O$5:$O$271),)),"")</f>
        <v/>
      </c>
      <c r="J519" s="25">
        <f>IF(I519="","",IF(E519="","",G519))</f>
        <v/>
      </c>
      <c r="K519" s="26" t="n"/>
    </row>
    <row r="520">
      <c r="A520" s="15" t="inlineStr">
        <is>
          <t>Celebration Gugelhupf AMEN</t>
        </is>
      </c>
      <c r="B520" s="18" t="n">
        <v>0</v>
      </c>
      <c r="C520" s="73" t="n">
        <v>0</v>
      </c>
      <c r="D520" s="73" t="n">
        <v>0</v>
      </c>
      <c r="E520" s="73" t="n">
        <v>0</v>
      </c>
      <c r="F520" s="18" t="n">
        <v>0</v>
      </c>
      <c r="G520" s="20" t="n">
        <v>87</v>
      </c>
      <c r="H520" s="18" t="n">
        <v>0</v>
      </c>
      <c r="I520">
        <f t="array" ref="I520">IFERROR(INDEX($N$5:$N$271,MATCH(TRUE,EXACT(A520,$O$5:$O$271),)),"")</f>
        <v/>
      </c>
      <c r="J520" s="25">
        <f>IF(I520="","",IF(E520="","",G520))</f>
        <v/>
      </c>
      <c r="K520" s="26" t="n"/>
    </row>
    <row r="521">
      <c r="A521" s="15" t="inlineStr">
        <is>
          <t>Cheese Gougere AMEN</t>
        </is>
      </c>
      <c r="B521" s="18" t="n">
        <v>0</v>
      </c>
      <c r="C521" s="73" t="n">
        <v>0</v>
      </c>
      <c r="D521" s="73" t="n">
        <v>0</v>
      </c>
      <c r="E521" s="73" t="n">
        <v>0</v>
      </c>
      <c r="F521" s="18" t="n">
        <v>0</v>
      </c>
      <c r="G521" s="20" t="n">
        <v>4</v>
      </c>
      <c r="H521" s="18" t="n">
        <v>0</v>
      </c>
      <c r="I521">
        <f t="array" ref="I521">IFERROR(INDEX($N$5:$N$271,MATCH(TRUE,EXACT(A521,$O$5:$O$271),)),"")</f>
        <v/>
      </c>
      <c r="J521" s="25">
        <f>IF(I521="","",IF(E521="","",G521))</f>
        <v/>
      </c>
      <c r="K521" s="26" t="n"/>
    </row>
    <row r="522">
      <c r="A522" s="15" t="inlineStr">
        <is>
          <t>Chocolate Brownies AMEN</t>
        </is>
      </c>
      <c r="B522" s="18" t="n">
        <v>0</v>
      </c>
      <c r="C522" s="73" t="n">
        <v>0</v>
      </c>
      <c r="D522" s="73" t="n">
        <v>0</v>
      </c>
      <c r="E522" s="73" t="n">
        <v>0</v>
      </c>
      <c r="F522" s="18" t="n">
        <v>0</v>
      </c>
      <c r="G522" s="20" t="n">
        <v>12</v>
      </c>
      <c r="H522" s="18" t="n">
        <v>0</v>
      </c>
      <c r="I522">
        <f t="array" ref="I522">IFERROR(INDEX($N$5:$N$271,MATCH(TRUE,EXACT(A522,$O$5:$O$271),)),"")</f>
        <v/>
      </c>
      <c r="J522" s="25">
        <f>IF(I522="","",IF(E522="","",G522))</f>
        <v/>
      </c>
      <c r="K522" s="26" t="n"/>
    </row>
    <row r="523">
      <c r="A523" s="15" t="inlineStr">
        <is>
          <t>Chocolate Dipped Strawberry AMEN</t>
        </is>
      </c>
      <c r="B523" s="18" t="n">
        <v>0</v>
      </c>
      <c r="C523" s="73" t="n">
        <v>0</v>
      </c>
      <c r="D523" s="73" t="n">
        <v>0</v>
      </c>
      <c r="E523" s="73" t="n">
        <v>0</v>
      </c>
      <c r="F523" s="18" t="n">
        <v>0</v>
      </c>
      <c r="G523" s="20" t="n">
        <v>16</v>
      </c>
      <c r="H523" s="18" t="n">
        <v>0</v>
      </c>
      <c r="I523">
        <f t="array" ref="I523">IFERROR(INDEX($N$5:$N$271,MATCH(TRUE,EXACT(A523,$O$5:$O$271),)),"")</f>
        <v/>
      </c>
      <c r="J523" s="25">
        <f>IF(I523="","",IF(E523="","",G523))</f>
        <v/>
      </c>
      <c r="K523" s="26" t="n"/>
    </row>
    <row r="524">
      <c r="A524" s="15" t="inlineStr">
        <is>
          <t>Cookies &amp; Lollipops AMEN</t>
        </is>
      </c>
      <c r="B524" s="18" t="n">
        <v>0</v>
      </c>
      <c r="C524" s="73" t="n">
        <v>0</v>
      </c>
      <c r="D524" s="73" t="n">
        <v>0</v>
      </c>
      <c r="E524" s="73" t="n">
        <v>0</v>
      </c>
      <c r="F524" s="18" t="n">
        <v>0</v>
      </c>
      <c r="G524" s="20" t="n">
        <v>4</v>
      </c>
      <c r="H524" s="18" t="n">
        <v>0</v>
      </c>
      <c r="I524">
        <f t="array" ref="I524">IFERROR(INDEX($N$5:$N$271,MATCH(TRUE,EXACT(A524,$O$5:$O$271),)),"")</f>
        <v/>
      </c>
      <c r="J524" s="25">
        <f>IF(I524="","",IF(E524="","",G524))</f>
        <v/>
      </c>
      <c r="K524" s="26" t="n"/>
    </row>
    <row r="525">
      <c r="A525" s="15" t="inlineStr">
        <is>
          <t>Cookies AMEN</t>
        </is>
      </c>
      <c r="B525" s="18" t="n">
        <v>0</v>
      </c>
      <c r="C525" s="73" t="n">
        <v>0</v>
      </c>
      <c r="D525" s="73" t="n">
        <v>0</v>
      </c>
      <c r="E525" s="73" t="n">
        <v>0</v>
      </c>
      <c r="F525" s="18" t="n">
        <v>0</v>
      </c>
      <c r="G525" s="20" t="n">
        <v>9</v>
      </c>
      <c r="H525" s="18" t="n">
        <v>0</v>
      </c>
      <c r="I525">
        <f t="array" ref="I525">IFERROR(INDEX($N$5:$N$271,MATCH(TRUE,EXACT(A525,$O$5:$O$271),)),"")</f>
        <v/>
      </c>
      <c r="J525" s="25">
        <f>IF(I525="","",IF(E525="","",G525))</f>
        <v/>
      </c>
      <c r="K525" s="26" t="n"/>
    </row>
    <row r="526">
      <c r="A526" s="15" t="inlineStr">
        <is>
          <t>Cookies AMEN</t>
        </is>
      </c>
      <c r="B526" s="18" t="n">
        <v>0</v>
      </c>
      <c r="C526" s="73" t="n">
        <v>0</v>
      </c>
      <c r="D526" s="73" t="n">
        <v>0</v>
      </c>
      <c r="E526" s="73" t="n">
        <v>0</v>
      </c>
      <c r="F526" s="18" t="n">
        <v>0</v>
      </c>
      <c r="G526" s="20" t="n">
        <v>30</v>
      </c>
      <c r="H526" s="18" t="n">
        <v>0</v>
      </c>
      <c r="I526">
        <f t="array" ref="I526">IFERROR(INDEX($N$5:$N$271,MATCH(TRUE,EXACT(A526,$O$5:$O$271),)),"")</f>
        <v/>
      </c>
      <c r="J526" s="25">
        <f>IF(I526="","",IF(E526="","",G526))</f>
        <v/>
      </c>
      <c r="K526" s="26" t="n"/>
    </row>
    <row r="527">
      <c r="A527" s="15" t="inlineStr">
        <is>
          <t xml:space="preserve">  Cupcake AMEN</t>
        </is>
      </c>
      <c r="B527" s="18" t="n">
        <v>0</v>
      </c>
      <c r="C527" s="73" t="n">
        <v>0</v>
      </c>
      <c r="D527" s="73" t="n">
        <v>0</v>
      </c>
      <c r="E527" s="73" t="n">
        <v>0</v>
      </c>
      <c r="F527" s="18" t="n">
        <v>0</v>
      </c>
      <c r="G527" s="20" t="n">
        <v>1</v>
      </c>
      <c r="H527" s="18" t="n">
        <v>0</v>
      </c>
      <c r="I527">
        <f t="array" ref="I527">IFERROR(INDEX($N$5:$N$271,MATCH(TRUE,EXACT(A527,$O$5:$O$271),)),"")</f>
        <v/>
      </c>
      <c r="J527" s="25">
        <f>IF(I527="","",IF(E527="","",G527))</f>
        <v/>
      </c>
      <c r="K527" s="26" t="n"/>
    </row>
    <row r="528">
      <c r="A528" s="15" t="inlineStr">
        <is>
          <t xml:space="preserve">  Marshmallows AMEN</t>
        </is>
      </c>
      <c r="B528" s="18" t="n">
        <v>0</v>
      </c>
      <c r="C528" s="73" t="n">
        <v>0</v>
      </c>
      <c r="D528" s="73" t="n">
        <v>0</v>
      </c>
      <c r="E528" s="73" t="n">
        <v>0</v>
      </c>
      <c r="F528" s="18" t="n">
        <v>0</v>
      </c>
      <c r="G528" s="20" t="n">
        <v>5</v>
      </c>
      <c r="H528" s="18" t="n">
        <v>0</v>
      </c>
      <c r="I528">
        <f t="array" ref="I528">IFERROR(INDEX($N$5:$N$271,MATCH(TRUE,EXACT(A528,$O$5:$O$271),)),"")</f>
        <v/>
      </c>
      <c r="J528" s="25">
        <f>IF(I528="","",IF(E528="","",G528))</f>
        <v/>
      </c>
      <c r="K528" s="26" t="n"/>
    </row>
    <row r="529">
      <c r="A529" s="15" t="inlineStr">
        <is>
          <t xml:space="preserve">  Truffles AMEN</t>
        </is>
      </c>
      <c r="B529" s="18" t="n">
        <v>0</v>
      </c>
      <c r="C529" s="73" t="n">
        <v>0</v>
      </c>
      <c r="D529" s="73" t="n">
        <v>0</v>
      </c>
      <c r="E529" s="73" t="n">
        <v>0</v>
      </c>
      <c r="F529" s="18" t="n">
        <v>0</v>
      </c>
      <c r="G529" s="20" t="n">
        <v>8</v>
      </c>
      <c r="H529" s="18" t="n">
        <v>0</v>
      </c>
      <c r="I529">
        <f t="array" ref="I529">IFERROR(INDEX($N$5:$N$271,MATCH(TRUE,EXACT(A529,$O$5:$O$271),)),"")</f>
        <v/>
      </c>
      <c r="J529" s="25">
        <f>IF(I529="","",IF(E529="","",G529))</f>
        <v/>
      </c>
      <c r="K529" s="26" t="n"/>
    </row>
    <row r="530">
      <c r="A530" s="15" t="inlineStr">
        <is>
          <t>Crudities AMEN</t>
        </is>
      </c>
      <c r="B530" s="18" t="n">
        <v>0</v>
      </c>
      <c r="C530" s="73" t="n">
        <v>0</v>
      </c>
      <c r="D530" s="73" t="n">
        <v>0</v>
      </c>
      <c r="E530" s="73" t="n">
        <v>0</v>
      </c>
      <c r="F530" s="18" t="n">
        <v>0</v>
      </c>
      <c r="G530" s="20" t="n">
        <v>2</v>
      </c>
      <c r="H530" s="18" t="n">
        <v>0</v>
      </c>
      <c r="I530">
        <f t="array" ref="I530">IFERROR(INDEX($N$5:$N$271,MATCH(TRUE,EXACT(A530,$O$5:$O$271),)),"")</f>
        <v/>
      </c>
      <c r="J530" s="25">
        <f>IF(I530="","",IF(E530="","",G530))</f>
        <v/>
      </c>
      <c r="K530" s="26" t="n"/>
    </row>
    <row r="531">
      <c r="A531" s="15" t="inlineStr">
        <is>
          <t>Dates AMEN</t>
        </is>
      </c>
      <c r="B531" s="18" t="n">
        <v>0</v>
      </c>
      <c r="C531" s="73" t="n">
        <v>0</v>
      </c>
      <c r="D531" s="73" t="n">
        <v>0</v>
      </c>
      <c r="E531" s="73" t="n">
        <v>0</v>
      </c>
      <c r="F531" s="18" t="n">
        <v>0</v>
      </c>
      <c r="G531" s="20" t="n">
        <v>1</v>
      </c>
      <c r="H531" s="18" t="n">
        <v>0</v>
      </c>
      <c r="I531">
        <f t="array" ref="I531">IFERROR(INDEX($N$5:$N$271,MATCH(TRUE,EXACT(A531,$O$5:$O$271),)),"")</f>
        <v/>
      </c>
      <c r="J531" s="25">
        <f>IF(I531="","",IF(E531="","",G531))</f>
        <v/>
      </c>
      <c r="K531" s="26" t="n"/>
    </row>
    <row r="532">
      <c r="A532" s="15" t="inlineStr">
        <is>
          <t>Exotic Fruit AMEN</t>
        </is>
      </c>
      <c r="B532" s="18" t="n">
        <v>0</v>
      </c>
      <c r="C532" s="73" t="n">
        <v>0</v>
      </c>
      <c r="D532" s="73" t="n">
        <v>0</v>
      </c>
      <c r="E532" s="73" t="n">
        <v>0</v>
      </c>
      <c r="F532" s="18" t="n">
        <v>0</v>
      </c>
      <c r="G532" s="20" t="n">
        <v>2</v>
      </c>
      <c r="H532" s="18" t="n">
        <v>0</v>
      </c>
      <c r="I532">
        <f t="array" ref="I532">IFERROR(INDEX($N$5:$N$271,MATCH(TRUE,EXACT(A532,$O$5:$O$271),)),"")</f>
        <v/>
      </c>
      <c r="J532" s="25">
        <f>IF(I532="","",IF(E532="","",G532))</f>
        <v/>
      </c>
      <c r="K532" s="26" t="n"/>
    </row>
    <row r="533">
      <c r="A533" s="15" t="inlineStr">
        <is>
          <t>Fresh Strawberries AMEN</t>
        </is>
      </c>
      <c r="B533" s="18" t="n">
        <v>0</v>
      </c>
      <c r="C533" s="73" t="n">
        <v>0</v>
      </c>
      <c r="D533" s="73" t="n">
        <v>0</v>
      </c>
      <c r="E533" s="73" t="n">
        <v>0</v>
      </c>
      <c r="F533" s="18" t="n">
        <v>0</v>
      </c>
      <c r="G533" s="20" t="n">
        <v>3</v>
      </c>
      <c r="H533" s="18" t="n">
        <v>0</v>
      </c>
      <c r="I533">
        <f t="array" ref="I533">IFERROR(INDEX($N$5:$N$271,MATCH(TRUE,EXACT(A533,$O$5:$O$271),)),"")</f>
        <v/>
      </c>
      <c r="J533" s="25">
        <f>IF(I533="","",IF(E533="","",G533))</f>
        <v/>
      </c>
      <c r="K533" s="26" t="n"/>
    </row>
    <row r="534">
      <c r="A534" s="15" t="inlineStr">
        <is>
          <t>Fruit Animal Kid AMEN</t>
        </is>
      </c>
      <c r="B534" s="18" t="n">
        <v>0</v>
      </c>
      <c r="C534" s="73" t="n">
        <v>0</v>
      </c>
      <c r="D534" s="73" t="n">
        <v>0</v>
      </c>
      <c r="E534" s="73" t="n">
        <v>0</v>
      </c>
      <c r="F534" s="18" t="n">
        <v>0</v>
      </c>
      <c r="G534" s="20" t="n">
        <v>18</v>
      </c>
      <c r="H534" s="18" t="n">
        <v>0</v>
      </c>
      <c r="I534">
        <f t="array" ref="I534">IFERROR(INDEX($N$5:$N$271,MATCH(TRUE,EXACT(A534,$O$5:$O$271),)),"")</f>
        <v/>
      </c>
      <c r="J534" s="25">
        <f>IF(I534="","",IF(E534="","",G534))</f>
        <v/>
      </c>
      <c r="K534" s="26" t="n"/>
    </row>
    <row r="535">
      <c r="A535" s="15" t="inlineStr">
        <is>
          <t>Fruit Skewers</t>
        </is>
      </c>
      <c r="B535" s="18" t="n">
        <v>0</v>
      </c>
      <c r="C535" s="73" t="n">
        <v>0</v>
      </c>
      <c r="D535" s="73" t="n">
        <v>0</v>
      </c>
      <c r="E535" s="73" t="n">
        <v>0</v>
      </c>
      <c r="F535" s="18" t="n">
        <v>0</v>
      </c>
      <c r="G535" s="20" t="n">
        <v>1</v>
      </c>
      <c r="H535" s="18" t="n">
        <v>0</v>
      </c>
      <c r="I535">
        <f t="array" ref="I535">IFERROR(INDEX($N$5:$N$271,MATCH(TRUE,EXACT(A535,$O$5:$O$271),)),"")</f>
        <v/>
      </c>
      <c r="J535" s="25">
        <f>IF(I535="","",IF(E535="","",G535))</f>
        <v/>
      </c>
      <c r="K535" s="26" t="n"/>
    </row>
    <row r="536">
      <c r="A536" s="15" t="inlineStr">
        <is>
          <t>Gugelhupf AMEN</t>
        </is>
      </c>
      <c r="B536" s="18" t="n">
        <v>0</v>
      </c>
      <c r="C536" s="73" t="n">
        <v>0</v>
      </c>
      <c r="D536" s="73" t="n">
        <v>0</v>
      </c>
      <c r="E536" s="73" t="n">
        <v>0</v>
      </c>
      <c r="F536" s="18" t="n">
        <v>0</v>
      </c>
      <c r="G536" s="20" t="n">
        <v>8</v>
      </c>
      <c r="H536" s="18" t="n">
        <v>0</v>
      </c>
      <c r="I536">
        <f t="array" ref="I536">IFERROR(INDEX($N$5:$N$271,MATCH(TRUE,EXACT(A536,$O$5:$O$271),)),"")</f>
        <v/>
      </c>
      <c r="J536" s="25">
        <f>IF(I536="","",IF(E536="","",G536))</f>
        <v/>
      </c>
      <c r="K536" s="26" t="n"/>
    </row>
    <row r="537">
      <c r="A537" s="15" t="inlineStr">
        <is>
          <t>Kids Large Cookies AMEN</t>
        </is>
      </c>
      <c r="B537" s="18" t="n">
        <v>0</v>
      </c>
      <c r="C537" s="73" t="n">
        <v>0</v>
      </c>
      <c r="D537" s="73" t="n">
        <v>0</v>
      </c>
      <c r="E537" s="73" t="n">
        <v>0</v>
      </c>
      <c r="F537" s="18" t="n">
        <v>0</v>
      </c>
      <c r="G537" s="20" t="n">
        <v>93</v>
      </c>
      <c r="H537" s="18" t="n">
        <v>0</v>
      </c>
      <c r="I537">
        <f t="array" ref="I537">IFERROR(INDEX($N$5:$N$271,MATCH(TRUE,EXACT(A537,$O$5:$O$271),)),"")</f>
        <v/>
      </c>
      <c r="J537" s="25">
        <f>IF(I537="","",IF(E537="","",G537))</f>
        <v/>
      </c>
      <c r="K537" s="26" t="n"/>
    </row>
    <row r="538">
      <c r="A538" s="15" t="inlineStr">
        <is>
          <t>Large Cheese Selection AMEN</t>
        </is>
      </c>
      <c r="B538" s="18" t="n">
        <v>0</v>
      </c>
      <c r="C538" s="73" t="n">
        <v>0</v>
      </c>
      <c r="D538" s="73" t="n">
        <v>0</v>
      </c>
      <c r="E538" s="73" t="n">
        <v>0</v>
      </c>
      <c r="F538" s="18" t="n">
        <v>0</v>
      </c>
      <c r="G538" s="20" t="n">
        <v>3</v>
      </c>
      <c r="H538" s="18" t="n">
        <v>0</v>
      </c>
      <c r="I538">
        <f t="array" ref="I538">IFERROR(INDEX($N$5:$N$271,MATCH(TRUE,EXACT(A538,$O$5:$O$271),)),"")</f>
        <v/>
      </c>
      <c r="J538" s="25">
        <f>IF(I538="","",IF(E538="","",G538))</f>
        <v/>
      </c>
      <c r="K538" s="26" t="n"/>
    </row>
    <row r="539">
      <c r="A539" s="15" t="inlineStr">
        <is>
          <t>Large Fruit AMEN</t>
        </is>
      </c>
      <c r="B539" s="18" t="n">
        <v>0</v>
      </c>
      <c r="C539" s="73" t="n">
        <v>0</v>
      </c>
      <c r="D539" s="73" t="n">
        <v>0</v>
      </c>
      <c r="E539" s="73" t="n">
        <v>0</v>
      </c>
      <c r="F539" s="18" t="n">
        <v>0</v>
      </c>
      <c r="G539" s="20" t="n">
        <v>2</v>
      </c>
      <c r="H539" s="18" t="n">
        <v>0</v>
      </c>
      <c r="I539">
        <f t="array" ref="I539">IFERROR(INDEX($N$5:$N$271,MATCH(TRUE,EXACT(A539,$O$5:$O$271),)),"")</f>
        <v/>
      </c>
      <c r="J539" s="25">
        <f>IF(I539="","",IF(E539="","",G539))</f>
        <v/>
      </c>
      <c r="K539" s="26" t="n"/>
    </row>
    <row r="540">
      <c r="A540" s="15" t="inlineStr">
        <is>
          <t>Large Fruit Basket AMEN</t>
        </is>
      </c>
      <c r="B540" s="18" t="n">
        <v>0</v>
      </c>
      <c r="C540" s="73" t="n">
        <v>0</v>
      </c>
      <c r="D540" s="73" t="n">
        <v>0</v>
      </c>
      <c r="E540" s="73" t="n">
        <v>0</v>
      </c>
      <c r="F540" s="18" t="n">
        <v>0</v>
      </c>
      <c r="G540" s="20" t="n">
        <v>115</v>
      </c>
      <c r="H540" s="18" t="n">
        <v>0</v>
      </c>
      <c r="I540">
        <f t="array" ref="I540">IFERROR(INDEX($N$5:$N$271,MATCH(TRUE,EXACT(A540,$O$5:$O$271),)),"")</f>
        <v/>
      </c>
      <c r="J540" s="25">
        <f>IF(I540="","",IF(E540="","",G540))</f>
        <v/>
      </c>
      <c r="K540" s="26" t="n"/>
    </row>
    <row r="541">
      <c r="A541" s="15" t="inlineStr">
        <is>
          <t>Large Fruit Skewers AMEN</t>
        </is>
      </c>
      <c r="B541" s="18" t="n">
        <v>0</v>
      </c>
      <c r="C541" s="73" t="n">
        <v>0</v>
      </c>
      <c r="D541" s="73" t="n">
        <v>0</v>
      </c>
      <c r="E541" s="73" t="n">
        <v>0</v>
      </c>
      <c r="F541" s="18" t="n">
        <v>0</v>
      </c>
      <c r="G541" s="20" t="n">
        <v>1</v>
      </c>
      <c r="H541" s="18" t="n">
        <v>0</v>
      </c>
      <c r="I541">
        <f t="array" ref="I541">IFERROR(INDEX($N$5:$N$271,MATCH(TRUE,EXACT(A541,$O$5:$O$271),)),"")</f>
        <v/>
      </c>
      <c r="J541" s="25">
        <f>IF(I541="","",IF(E541="","",G541))</f>
        <v/>
      </c>
      <c r="K541" s="26" t="n"/>
    </row>
    <row r="542">
      <c r="A542" s="15" t="inlineStr">
        <is>
          <t>Large Sliced Fruit AMEN</t>
        </is>
      </c>
      <c r="B542" s="18" t="n">
        <v>0</v>
      </c>
      <c r="C542" s="73" t="n">
        <v>0</v>
      </c>
      <c r="D542" s="73" t="n">
        <v>0</v>
      </c>
      <c r="E542" s="73" t="n">
        <v>0</v>
      </c>
      <c r="F542" s="18" t="n">
        <v>0</v>
      </c>
      <c r="G542" s="20" t="n">
        <v>5</v>
      </c>
      <c r="H542" s="18" t="n">
        <v>0</v>
      </c>
      <c r="I542">
        <f t="array" ref="I542">IFERROR(INDEX($N$5:$N$271,MATCH(TRUE,EXACT(A542,$O$5:$O$271),)),"")</f>
        <v/>
      </c>
      <c r="J542" s="25">
        <f>IF(I542="","",IF(E542="","",G542))</f>
        <v/>
      </c>
      <c r="K542" s="26" t="n"/>
    </row>
    <row r="543">
      <c r="A543" s="15" t="inlineStr">
        <is>
          <t>Lollipops AMEN</t>
        </is>
      </c>
      <c r="B543" s="18" t="n">
        <v>0</v>
      </c>
      <c r="C543" s="73" t="n">
        <v>0</v>
      </c>
      <c r="D543" s="73" t="n">
        <v>0</v>
      </c>
      <c r="E543" s="73" t="n">
        <v>0</v>
      </c>
      <c r="F543" s="18" t="n">
        <v>0</v>
      </c>
      <c r="G543" s="20" t="n">
        <v>5</v>
      </c>
      <c r="H543" s="18" t="n">
        <v>0</v>
      </c>
      <c r="I543">
        <f t="array" ref="I543">IFERROR(INDEX($N$5:$N$271,MATCH(TRUE,EXACT(A543,$O$5:$O$271),)),"")</f>
        <v/>
      </c>
      <c r="J543" s="25">
        <f>IF(I543="","",IF(E543="","",G543))</f>
        <v/>
      </c>
      <c r="K543" s="26" t="n"/>
    </row>
    <row r="544">
      <c r="A544" s="15" t="inlineStr">
        <is>
          <t>Macaroon AMEN</t>
        </is>
      </c>
      <c r="B544" s="18" t="n">
        <v>0</v>
      </c>
      <c r="C544" s="73" t="n">
        <v>0</v>
      </c>
      <c r="D544" s="73" t="n">
        <v>0</v>
      </c>
      <c r="E544" s="73" t="n">
        <v>0</v>
      </c>
      <c r="F544" s="18" t="n">
        <v>0</v>
      </c>
      <c r="G544" s="20" t="n">
        <v>44</v>
      </c>
      <c r="H544" s="18" t="n">
        <v>0</v>
      </c>
      <c r="I544">
        <f t="array" ref="I544">IFERROR(INDEX($N$5:$N$271,MATCH(TRUE,EXACT(A544,$O$5:$O$271),)),"")</f>
        <v/>
      </c>
      <c r="J544" s="25">
        <f>IF(I544="","",IF(E544="","",G544))</f>
        <v/>
      </c>
      <c r="K544" s="26" t="n"/>
    </row>
    <row r="545">
      <c r="A545" s="15" t="inlineStr">
        <is>
          <t>Macaroons AMEN</t>
        </is>
      </c>
      <c r="B545" s="18" t="n">
        <v>0</v>
      </c>
      <c r="C545" s="73" t="n">
        <v>0</v>
      </c>
      <c r="D545" s="73" t="n">
        <v>0</v>
      </c>
      <c r="E545" s="73" t="n">
        <v>0</v>
      </c>
      <c r="F545" s="18" t="n">
        <v>0</v>
      </c>
      <c r="G545" s="20" t="n">
        <v>18</v>
      </c>
      <c r="H545" s="18" t="n">
        <v>0</v>
      </c>
      <c r="I545">
        <f t="array" ref="I545">IFERROR(INDEX($N$5:$N$271,MATCH(TRUE,EXACT(A545,$O$5:$O$271),)),"")</f>
        <v/>
      </c>
      <c r="J545" s="25">
        <f>IF(I545="","",IF(E545="","",G545))</f>
        <v/>
      </c>
      <c r="K545" s="26" t="n"/>
    </row>
    <row r="546">
      <c r="A546" s="15" t="inlineStr">
        <is>
          <t>Medium Fruit AMEN</t>
        </is>
      </c>
      <c r="B546" s="18" t="n">
        <v>0</v>
      </c>
      <c r="C546" s="73" t="n">
        <v>0</v>
      </c>
      <c r="D546" s="73" t="n">
        <v>0</v>
      </c>
      <c r="E546" s="73" t="n">
        <v>0</v>
      </c>
      <c r="F546" s="18" t="n">
        <v>0</v>
      </c>
      <c r="G546" s="20" t="n">
        <v>18</v>
      </c>
      <c r="H546" s="18" t="n">
        <v>0</v>
      </c>
      <c r="I546">
        <f t="array" ref="I546">IFERROR(INDEX($N$5:$N$271,MATCH(TRUE,EXACT(A546,$O$5:$O$271),)),"")</f>
        <v/>
      </c>
      <c r="J546" s="25">
        <f>IF(I546="","",IF(E546="","",G546))</f>
        <v/>
      </c>
      <c r="K546" s="26" t="n"/>
    </row>
    <row r="547">
      <c r="A547" s="15" t="inlineStr">
        <is>
          <t>Medium Fruit Basket AMEN</t>
        </is>
      </c>
      <c r="B547" s="18" t="n">
        <v>0</v>
      </c>
      <c r="C547" s="73" t="n">
        <v>0</v>
      </c>
      <c r="D547" s="73" t="n">
        <v>0</v>
      </c>
      <c r="E547" s="73" t="n">
        <v>0</v>
      </c>
      <c r="F547" s="18" t="n">
        <v>0</v>
      </c>
      <c r="G547" s="20" t="n">
        <v>40</v>
      </c>
      <c r="H547" s="18" t="n">
        <v>0</v>
      </c>
      <c r="I547">
        <f t="array" ref="I547">IFERROR(INDEX($N$5:$N$271,MATCH(TRUE,EXACT(A547,$O$5:$O$271),)),"")</f>
        <v/>
      </c>
      <c r="J547" s="25">
        <f>IF(I547="","",IF(E547="","",G547))</f>
        <v/>
      </c>
      <c r="K547" s="26" t="n"/>
    </row>
    <row r="548">
      <c r="A548" s="15" t="inlineStr">
        <is>
          <t>Medium Gugelhupf AMEN</t>
        </is>
      </c>
      <c r="B548" s="18" t="n">
        <v>0</v>
      </c>
      <c r="C548" s="73" t="n">
        <v>0</v>
      </c>
      <c r="D548" s="73" t="n">
        <v>0</v>
      </c>
      <c r="E548" s="73" t="n">
        <v>0</v>
      </c>
      <c r="F548" s="18" t="n">
        <v>0</v>
      </c>
      <c r="G548" s="20" t="n">
        <v>75</v>
      </c>
      <c r="H548" s="18" t="n">
        <v>0</v>
      </c>
      <c r="I548">
        <f t="array" ref="I548">IFERROR(INDEX($N$5:$N$271,MATCH(TRUE,EXACT(A548,$O$5:$O$271),)),"")</f>
        <v/>
      </c>
      <c r="J548" s="25">
        <f>IF(I548="","",IF(E548="","",G548))</f>
        <v/>
      </c>
      <c r="K548" s="26" t="n"/>
    </row>
    <row r="549">
      <c r="A549" s="15" t="inlineStr">
        <is>
          <t>Mixed Berries AMEN</t>
        </is>
      </c>
      <c r="B549" s="18" t="n">
        <v>0</v>
      </c>
      <c r="C549" s="73" t="n">
        <v>0</v>
      </c>
      <c r="D549" s="73" t="n">
        <v>0</v>
      </c>
      <c r="E549" s="73" t="n">
        <v>0</v>
      </c>
      <c r="F549" s="18" t="n">
        <v>0</v>
      </c>
      <c r="G549" s="20" t="n">
        <v>9</v>
      </c>
      <c r="H549" s="18" t="n">
        <v>0</v>
      </c>
      <c r="I549">
        <f t="array" ref="I549">IFERROR(INDEX($N$5:$N$271,MATCH(TRUE,EXACT(A549,$O$5:$O$271),)),"")</f>
        <v/>
      </c>
      <c r="J549" s="25">
        <f>IF(I549="","",IF(E549="","",G549))</f>
        <v/>
      </c>
      <c r="K549" s="26" t="n"/>
    </row>
    <row r="550">
      <c r="A550" s="15" t="inlineStr">
        <is>
          <t>Mixed Truffles Box AM</t>
        </is>
      </c>
      <c r="B550" s="18" t="n">
        <v>0</v>
      </c>
      <c r="C550" s="73" t="n">
        <v>0</v>
      </c>
      <c r="D550" s="73" t="n">
        <v>0</v>
      </c>
      <c r="E550" s="73" t="n">
        <v>0</v>
      </c>
      <c r="F550" s="18" t="n">
        <v>0</v>
      </c>
      <c r="G550" s="20" t="n">
        <v>1</v>
      </c>
      <c r="H550" s="18" t="n">
        <v>0</v>
      </c>
      <c r="I550">
        <f t="array" ref="I550">IFERROR(INDEX($N$5:$N$271,MATCH(TRUE,EXACT(A550,$O$5:$O$271),)),"")</f>
        <v/>
      </c>
      <c r="J550" s="25">
        <f>IF(I550="","",IF(E550="","",G550))</f>
        <v/>
      </c>
      <c r="K550" s="26" t="n"/>
    </row>
    <row r="551">
      <c r="A551" s="15" t="inlineStr">
        <is>
          <t>N_V2A_1</t>
        </is>
      </c>
      <c r="B551" s="18" t="n">
        <v>0</v>
      </c>
      <c r="C551" s="73" t="n">
        <v>0</v>
      </c>
      <c r="D551" s="73" t="n">
        <v>0</v>
      </c>
      <c r="E551" s="73" t="n">
        <v>0</v>
      </c>
      <c r="F551" s="18" t="n">
        <v>0</v>
      </c>
      <c r="G551" s="20" t="n">
        <v>14</v>
      </c>
      <c r="H551" s="18" t="n">
        <v>0</v>
      </c>
      <c r="I551">
        <f t="array" ref="I551">IFERROR(INDEX($N$5:$N$271,MATCH(TRUE,EXACT(A551,$O$5:$O$271),)),"")</f>
        <v/>
      </c>
      <c r="J551" s="25">
        <f>IF(I551="","",IF(E551="","",G551))</f>
        <v/>
      </c>
      <c r="K551" s="26" t="n"/>
    </row>
    <row r="552">
      <c r="A552" s="15" t="inlineStr">
        <is>
          <t>N_V2A_2</t>
        </is>
      </c>
      <c r="B552" s="18" t="n">
        <v>0</v>
      </c>
      <c r="C552" s="73" t="n">
        <v>0</v>
      </c>
      <c r="D552" s="73" t="n">
        <v>0</v>
      </c>
      <c r="E552" s="73" t="n">
        <v>0</v>
      </c>
      <c r="F552" s="18" t="n">
        <v>0</v>
      </c>
      <c r="G552" s="20" t="n">
        <v>19</v>
      </c>
      <c r="H552" s="18" t="n">
        <v>0</v>
      </c>
      <c r="I552">
        <f t="array" ref="I552">IFERROR(INDEX($N$5:$N$271,MATCH(TRUE,EXACT(A552,$O$5:$O$271),)),"")</f>
        <v/>
      </c>
      <c r="J552" s="25">
        <f>IF(I552="","",IF(E552="","",G552))</f>
        <v/>
      </c>
      <c r="K552" s="26" t="n"/>
    </row>
    <row r="553">
      <c r="A553" s="15" t="inlineStr">
        <is>
          <t>N_V2C_1</t>
        </is>
      </c>
      <c r="B553" s="18" t="n">
        <v>0</v>
      </c>
      <c r="C553" s="73" t="n">
        <v>0</v>
      </c>
      <c r="D553" s="73" t="n">
        <v>0</v>
      </c>
      <c r="E553" s="73" t="n">
        <v>0</v>
      </c>
      <c r="F553" s="18" t="n">
        <v>0</v>
      </c>
      <c r="G553" s="20" t="n">
        <v>24</v>
      </c>
      <c r="H553" s="18" t="n">
        <v>0</v>
      </c>
      <c r="I553">
        <f t="array" ref="I553">IFERROR(INDEX($N$5:$N$271,MATCH(TRUE,EXACT(A553,$O$5:$O$271),)),"")</f>
        <v/>
      </c>
      <c r="J553" s="25">
        <f>IF(I553="","",IF(E553="","",G553))</f>
        <v/>
      </c>
      <c r="K553" s="26" t="n"/>
    </row>
    <row r="554">
      <c r="A554" s="15" t="inlineStr">
        <is>
          <t>N_V2C_2</t>
        </is>
      </c>
      <c r="B554" s="18" t="n">
        <v>0</v>
      </c>
      <c r="C554" s="73" t="n">
        <v>0</v>
      </c>
      <c r="D554" s="73" t="n">
        <v>0</v>
      </c>
      <c r="E554" s="73" t="n">
        <v>0</v>
      </c>
      <c r="F554" s="18" t="n">
        <v>0</v>
      </c>
      <c r="G554" s="20" t="n">
        <v>9</v>
      </c>
      <c r="H554" s="18" t="n">
        <v>0</v>
      </c>
      <c r="I554">
        <f t="array" ref="I554">IFERROR(INDEX($N$5:$N$271,MATCH(TRUE,EXACT(A554,$O$5:$O$271),)),"")</f>
        <v/>
      </c>
      <c r="J554" s="25">
        <f>IF(I554="","",IF(E554="","",G554))</f>
        <v/>
      </c>
      <c r="K554" s="26" t="n"/>
    </row>
    <row r="555">
      <c r="A555" s="15" t="inlineStr">
        <is>
          <t>N_VIP10A</t>
        </is>
      </c>
      <c r="B555" s="18" t="n">
        <v>0</v>
      </c>
      <c r="C555" s="73" t="n">
        <v>0</v>
      </c>
      <c r="D555" s="73" t="n">
        <v>0</v>
      </c>
      <c r="E555" s="73" t="n">
        <v>0</v>
      </c>
      <c r="F555" s="18" t="n">
        <v>0</v>
      </c>
      <c r="G555" s="20" t="n">
        <v>19</v>
      </c>
      <c r="H555" s="18" t="n">
        <v>0</v>
      </c>
      <c r="I555">
        <f t="array" ref="I555">IFERROR(INDEX($N$5:$N$271,MATCH(TRUE,EXACT(A555,$O$5:$O$271),)),"")</f>
        <v/>
      </c>
      <c r="J555" s="25">
        <f>IF(I555="","",IF(E555="","",G555))</f>
        <v/>
      </c>
      <c r="K555" s="26" t="n"/>
    </row>
    <row r="556">
      <c r="A556" s="15" t="inlineStr">
        <is>
          <t>N_VIP10B</t>
        </is>
      </c>
      <c r="B556" s="18" t="n">
        <v>0</v>
      </c>
      <c r="C556" s="73" t="n">
        <v>0</v>
      </c>
      <c r="D556" s="73" t="n">
        <v>0</v>
      </c>
      <c r="E556" s="73" t="n">
        <v>0</v>
      </c>
      <c r="F556" s="18" t="n">
        <v>0</v>
      </c>
      <c r="G556" s="20" t="n">
        <v>8</v>
      </c>
      <c r="H556" s="18" t="n">
        <v>0</v>
      </c>
      <c r="I556">
        <f t="array" ref="I556">IFERROR(INDEX($N$5:$N$271,MATCH(TRUE,EXACT(A556,$O$5:$O$271),)),"")</f>
        <v/>
      </c>
      <c r="J556" s="25">
        <f>IF(I556="","",IF(E556="","",G556))</f>
        <v/>
      </c>
      <c r="K556" s="26" t="n"/>
    </row>
    <row r="557">
      <c r="A557" s="15" t="inlineStr">
        <is>
          <t>N_VIP11_1</t>
        </is>
      </c>
      <c r="B557" s="18" t="n">
        <v>0</v>
      </c>
      <c r="C557" s="73" t="n">
        <v>0</v>
      </c>
      <c r="D557" s="73" t="n">
        <v>0</v>
      </c>
      <c r="E557" s="73" t="n">
        <v>0</v>
      </c>
      <c r="F557" s="18" t="n">
        <v>0</v>
      </c>
      <c r="G557" s="20" t="n">
        <v>14</v>
      </c>
      <c r="H557" s="18" t="n">
        <v>0</v>
      </c>
      <c r="I557">
        <f t="array" ref="I557">IFERROR(INDEX($N$5:$N$271,MATCH(TRUE,EXACT(A557,$O$5:$O$271),)),"")</f>
        <v/>
      </c>
      <c r="J557" s="25">
        <f>IF(I557="","",IF(E557="","",G557))</f>
        <v/>
      </c>
      <c r="K557" s="26" t="n"/>
    </row>
    <row r="558">
      <c r="A558" s="15" t="inlineStr">
        <is>
          <t>N_VIP11_2</t>
        </is>
      </c>
      <c r="B558" s="18" t="n">
        <v>0</v>
      </c>
      <c r="C558" s="73" t="n">
        <v>0</v>
      </c>
      <c r="D558" s="73" t="n">
        <v>0</v>
      </c>
      <c r="E558" s="73" t="n">
        <v>0</v>
      </c>
      <c r="F558" s="18" t="n">
        <v>0</v>
      </c>
      <c r="G558" s="20" t="n">
        <v>11</v>
      </c>
      <c r="H558" s="18" t="n">
        <v>0</v>
      </c>
      <c r="I558">
        <f t="array" ref="I558">IFERROR(INDEX($N$5:$N$271,MATCH(TRUE,EXACT(A558,$O$5:$O$271),)),"")</f>
        <v/>
      </c>
      <c r="J558" s="25">
        <f>IF(I558="","",IF(E558="","",G558))</f>
        <v/>
      </c>
      <c r="K558" s="26" t="n"/>
    </row>
    <row r="559">
      <c r="A559" s="15" t="inlineStr">
        <is>
          <t>N_VIP12</t>
        </is>
      </c>
      <c r="B559" s="18" t="n">
        <v>0</v>
      </c>
      <c r="C559" s="73" t="n">
        <v>0</v>
      </c>
      <c r="D559" s="73" t="n">
        <v>0</v>
      </c>
      <c r="E559" s="73" t="n">
        <v>0</v>
      </c>
      <c r="F559" s="18" t="n">
        <v>0</v>
      </c>
      <c r="G559" s="20" t="n">
        <v>6</v>
      </c>
      <c r="H559" s="18" t="n">
        <v>0</v>
      </c>
      <c r="I559">
        <f t="array" ref="I559">IFERROR(INDEX($N$5:$N$271,MATCH(TRUE,EXACT(A559,$O$5:$O$271),)),"")</f>
        <v/>
      </c>
      <c r="J559" s="25">
        <f>IF(I559="","",IF(E559="","",G559))</f>
        <v/>
      </c>
      <c r="K559" s="26" t="n"/>
    </row>
    <row r="560">
      <c r="A560" s="15" t="inlineStr">
        <is>
          <t>N_VIP13</t>
        </is>
      </c>
      <c r="B560" s="18" t="n">
        <v>0</v>
      </c>
      <c r="C560" s="73" t="n">
        <v>0</v>
      </c>
      <c r="D560" s="73" t="n">
        <v>0</v>
      </c>
      <c r="E560" s="73" t="n">
        <v>0</v>
      </c>
      <c r="F560" s="18" t="n">
        <v>0</v>
      </c>
      <c r="G560" s="20" t="n">
        <v>12</v>
      </c>
      <c r="H560" s="18" t="n">
        <v>0</v>
      </c>
      <c r="I560">
        <f t="array" ref="I560">IFERROR(INDEX($N$5:$N$271,MATCH(TRUE,EXACT(A560,$O$5:$O$271),)),"")</f>
        <v/>
      </c>
      <c r="J560" s="25">
        <f>IF(I560="","",IF(E560="","",G560))</f>
        <v/>
      </c>
      <c r="K560" s="26" t="n"/>
    </row>
    <row r="561">
      <c r="A561" s="15" t="inlineStr">
        <is>
          <t>N_VIP5_1</t>
        </is>
      </c>
      <c r="B561" s="18" t="n">
        <v>0</v>
      </c>
      <c r="C561" s="73" t="n">
        <v>0</v>
      </c>
      <c r="D561" s="73" t="n">
        <v>0</v>
      </c>
      <c r="E561" s="73" t="n">
        <v>0</v>
      </c>
      <c r="F561" s="18" t="n">
        <v>0</v>
      </c>
      <c r="G561" s="20" t="n">
        <v>10</v>
      </c>
      <c r="H561" s="18" t="n">
        <v>0</v>
      </c>
      <c r="I561">
        <f t="array" ref="I561">IFERROR(INDEX($N$5:$N$271,MATCH(TRUE,EXACT(A561,$O$5:$O$271),)),"")</f>
        <v/>
      </c>
      <c r="J561" s="25">
        <f>IF(I561="","",IF(E561="","",G561))</f>
        <v/>
      </c>
      <c r="K561" s="26" t="n"/>
    </row>
    <row r="562">
      <c r="A562" s="15" t="inlineStr">
        <is>
          <t>N_VIP5_2</t>
        </is>
      </c>
      <c r="B562" s="18" t="n">
        <v>0</v>
      </c>
      <c r="C562" s="73" t="n">
        <v>0</v>
      </c>
      <c r="D562" s="73" t="n">
        <v>0</v>
      </c>
      <c r="E562" s="73" t="n">
        <v>0</v>
      </c>
      <c r="F562" s="18" t="n">
        <v>0</v>
      </c>
      <c r="G562" s="20" t="n">
        <v>2</v>
      </c>
      <c r="H562" s="18" t="n">
        <v>0</v>
      </c>
      <c r="I562">
        <f t="array" ref="I562">IFERROR(INDEX($N$5:$N$271,MATCH(TRUE,EXACT(A562,$O$5:$O$271),)),"")</f>
        <v/>
      </c>
      <c r="J562" s="25">
        <f>IF(I562="","",IF(E562="","",G562))</f>
        <v/>
      </c>
      <c r="K562" s="26" t="n"/>
    </row>
    <row r="563">
      <c r="A563" s="15" t="inlineStr">
        <is>
          <t>N_VIP6_1</t>
        </is>
      </c>
      <c r="B563" s="18" t="n">
        <v>0</v>
      </c>
      <c r="C563" s="73" t="n">
        <v>0</v>
      </c>
      <c r="D563" s="73" t="n">
        <v>0</v>
      </c>
      <c r="E563" s="73" t="n">
        <v>0</v>
      </c>
      <c r="F563" s="18" t="n">
        <v>0</v>
      </c>
      <c r="G563" s="20" t="n">
        <v>6</v>
      </c>
      <c r="H563" s="18" t="n">
        <v>0</v>
      </c>
      <c r="I563">
        <f t="array" ref="I563">IFERROR(INDEX($N$5:$N$271,MATCH(TRUE,EXACT(A563,$O$5:$O$271),)),"")</f>
        <v/>
      </c>
      <c r="J563" s="25">
        <f>IF(I563="","",IF(E563="","",G563))</f>
        <v/>
      </c>
      <c r="K563" s="26" t="n"/>
    </row>
    <row r="564">
      <c r="A564" s="15" t="inlineStr">
        <is>
          <t>N_VIP6_2</t>
        </is>
      </c>
      <c r="B564" s="18" t="n">
        <v>0</v>
      </c>
      <c r="C564" s="73" t="n">
        <v>0</v>
      </c>
      <c r="D564" s="73" t="n">
        <v>0</v>
      </c>
      <c r="E564" s="73" t="n">
        <v>0</v>
      </c>
      <c r="F564" s="18" t="n">
        <v>0</v>
      </c>
      <c r="G564" s="20" t="n">
        <v>7</v>
      </c>
      <c r="H564" s="18" t="n">
        <v>0</v>
      </c>
      <c r="I564">
        <f t="array" ref="I564">IFERROR(INDEX($N$5:$N$271,MATCH(TRUE,EXACT(A564,$O$5:$O$271),)),"")</f>
        <v/>
      </c>
      <c r="J564" s="25">
        <f>IF(I564="","",IF(E564="","",G564))</f>
        <v/>
      </c>
      <c r="K564" s="26" t="n"/>
    </row>
    <row r="565">
      <c r="A565" s="15" t="inlineStr">
        <is>
          <t>N_VIP7</t>
        </is>
      </c>
      <c r="B565" s="18" t="n">
        <v>0</v>
      </c>
      <c r="C565" s="73" t="n">
        <v>0</v>
      </c>
      <c r="D565" s="73" t="n">
        <v>0</v>
      </c>
      <c r="E565" s="73" t="n">
        <v>0</v>
      </c>
      <c r="F565" s="18" t="n">
        <v>0</v>
      </c>
      <c r="G565" s="20" t="n">
        <v>5</v>
      </c>
      <c r="H565" s="18" t="n">
        <v>0</v>
      </c>
      <c r="I565">
        <f t="array" ref="I565">IFERROR(INDEX($N$5:$N$271,MATCH(TRUE,EXACT(A565,$O$5:$O$271),)),"")</f>
        <v/>
      </c>
      <c r="J565" s="25">
        <f>IF(I565="","",IF(E565="","",G565))</f>
        <v/>
      </c>
      <c r="K565" s="26" t="n"/>
    </row>
    <row r="566">
      <c r="A566" s="15" t="inlineStr">
        <is>
          <t>N_VIP8_1_Canales</t>
        </is>
      </c>
      <c r="B566" s="18" t="n">
        <v>0</v>
      </c>
      <c r="C566" s="73" t="n">
        <v>0</v>
      </c>
      <c r="D566" s="73" t="n">
        <v>0</v>
      </c>
      <c r="E566" s="73" t="n">
        <v>0</v>
      </c>
      <c r="F566" s="18" t="n">
        <v>0</v>
      </c>
      <c r="G566" s="20" t="n">
        <v>1</v>
      </c>
      <c r="H566" s="18" t="n">
        <v>0</v>
      </c>
      <c r="I566">
        <f t="array" ref="I566">IFERROR(INDEX($N$5:$N$271,MATCH(TRUE,EXACT(A566,$O$5:$O$271),)),"")</f>
        <v/>
      </c>
      <c r="J566" s="25">
        <f>IF(I566="","",IF(E566="","",G566))</f>
        <v/>
      </c>
      <c r="K566" s="26" t="n"/>
    </row>
    <row r="567">
      <c r="A567" s="15" t="inlineStr">
        <is>
          <t>N_VIP8_1_Gugelhupf</t>
        </is>
      </c>
      <c r="B567" s="18" t="n">
        <v>0</v>
      </c>
      <c r="C567" s="73" t="n">
        <v>0</v>
      </c>
      <c r="D567" s="73" t="n">
        <v>0</v>
      </c>
      <c r="E567" s="73" t="n">
        <v>0</v>
      </c>
      <c r="F567" s="18" t="n">
        <v>0</v>
      </c>
      <c r="G567" s="20" t="n">
        <v>9</v>
      </c>
      <c r="H567" s="18" t="n">
        <v>0</v>
      </c>
      <c r="I567">
        <f t="array" ref="I567">IFERROR(INDEX($N$5:$N$271,MATCH(TRUE,EXACT(A567,$O$5:$O$271),)),"")</f>
        <v/>
      </c>
      <c r="J567" s="25">
        <f>IF(I567="","",IF(E567="","",G567))</f>
        <v/>
      </c>
      <c r="K567" s="26" t="n"/>
    </row>
    <row r="568">
      <c r="A568" s="15" t="inlineStr">
        <is>
          <t>N_VIP8_2</t>
        </is>
      </c>
      <c r="B568" s="18" t="n">
        <v>0</v>
      </c>
      <c r="C568" s="73" t="n">
        <v>0</v>
      </c>
      <c r="D568" s="73" t="n">
        <v>0</v>
      </c>
      <c r="E568" s="73" t="n">
        <v>0</v>
      </c>
      <c r="F568" s="18" t="n">
        <v>0</v>
      </c>
      <c r="G568" s="20" t="n">
        <v>4</v>
      </c>
      <c r="H568" s="18" t="n">
        <v>0</v>
      </c>
      <c r="I568">
        <f t="array" ref="I568">IFERROR(INDEX($N$5:$N$271,MATCH(TRUE,EXACT(A568,$O$5:$O$271),)),"")</f>
        <v/>
      </c>
      <c r="J568" s="25">
        <f>IF(I568="","",IF(E568="","",G568))</f>
        <v/>
      </c>
      <c r="K568" s="26" t="n"/>
    </row>
    <row r="569">
      <c r="A569" s="15" t="inlineStr">
        <is>
          <t>Plate Cookies AMEN</t>
        </is>
      </c>
      <c r="B569" s="18" t="n">
        <v>0</v>
      </c>
      <c r="C569" s="73" t="n">
        <v>0</v>
      </c>
      <c r="D569" s="73" t="n">
        <v>0</v>
      </c>
      <c r="E569" s="73" t="n">
        <v>0</v>
      </c>
      <c r="F569" s="18" t="n">
        <v>0</v>
      </c>
      <c r="G569" s="20" t="n">
        <v>21</v>
      </c>
      <c r="H569" s="18" t="n">
        <v>0</v>
      </c>
      <c r="I569">
        <f t="array" ref="I569">IFERROR(INDEX($N$5:$N$271,MATCH(TRUE,EXACT(A569,$O$5:$O$271),)),"")</f>
        <v/>
      </c>
      <c r="J569" s="25">
        <f>IF(I569="","",IF(E569="","",G569))</f>
        <v/>
      </c>
      <c r="K569" s="26" t="n"/>
    </row>
    <row r="570">
      <c r="A570" s="15" t="inlineStr">
        <is>
          <t>Pop Corn AMEN</t>
        </is>
      </c>
      <c r="B570" s="18" t="n">
        <v>0</v>
      </c>
      <c r="C570" s="73" t="n">
        <v>0</v>
      </c>
      <c r="D570" s="73" t="n">
        <v>0</v>
      </c>
      <c r="E570" s="73" t="n">
        <v>0</v>
      </c>
      <c r="F570" s="18" t="n">
        <v>0</v>
      </c>
      <c r="G570" s="20" t="n">
        <v>1</v>
      </c>
      <c r="H570" s="18" t="n">
        <v>0</v>
      </c>
      <c r="I570">
        <f t="array" ref="I570">IFERROR(INDEX($N$5:$N$271,MATCH(TRUE,EXACT(A570,$O$5:$O$271),)),"")</f>
        <v/>
      </c>
      <c r="J570" s="25">
        <f>IF(I570="","",IF(E570="","",G570))</f>
        <v/>
      </c>
      <c r="K570" s="26" t="n"/>
    </row>
    <row r="571">
      <c r="A571" s="15" t="inlineStr">
        <is>
          <t>Small Cheese Selection AMEN</t>
        </is>
      </c>
      <c r="B571" s="18" t="n">
        <v>0</v>
      </c>
      <c r="C571" s="73" t="n">
        <v>0</v>
      </c>
      <c r="D571" s="73" t="n">
        <v>0</v>
      </c>
      <c r="E571" s="73" t="n">
        <v>0</v>
      </c>
      <c r="F571" s="18" t="n">
        <v>0</v>
      </c>
      <c r="G571" s="20" t="n">
        <v>3</v>
      </c>
      <c r="H571" s="18" t="n">
        <v>0</v>
      </c>
      <c r="I571">
        <f t="array" ref="I571">IFERROR(INDEX($N$5:$N$271,MATCH(TRUE,EXACT(A571,$O$5:$O$271),)),"")</f>
        <v/>
      </c>
      <c r="J571" s="25">
        <f>IF(I571="","",IF(E571="","",G571))</f>
        <v/>
      </c>
      <c r="K571" s="26" t="n"/>
    </row>
    <row r="572">
      <c r="A572" s="15" t="inlineStr">
        <is>
          <t>Small Choc Dipped Strawberries A</t>
        </is>
      </c>
      <c r="B572" s="18" t="n">
        <v>0</v>
      </c>
      <c r="C572" s="73" t="n">
        <v>0</v>
      </c>
      <c r="D572" s="73" t="n">
        <v>0</v>
      </c>
      <c r="E572" s="73" t="n">
        <v>0</v>
      </c>
      <c r="F572" s="18" t="n">
        <v>0</v>
      </c>
      <c r="G572" s="20" t="n">
        <v>5</v>
      </c>
      <c r="H572" s="18" t="n">
        <v>0</v>
      </c>
      <c r="I572">
        <f t="array" ref="I572">IFERROR(INDEX($N$5:$N$271,MATCH(TRUE,EXACT(A572,$O$5:$O$271),)),"")</f>
        <v/>
      </c>
      <c r="J572" s="25">
        <f>IF(I572="","",IF(E572="","",G572))</f>
        <v/>
      </c>
      <c r="K572" s="26" t="n"/>
    </row>
    <row r="573">
      <c r="A573" s="15" t="inlineStr">
        <is>
          <t>Small Fruit AMEN</t>
        </is>
      </c>
      <c r="B573" s="18" t="n">
        <v>0</v>
      </c>
      <c r="C573" s="73" t="n">
        <v>0</v>
      </c>
      <c r="D573" s="73" t="n">
        <v>0</v>
      </c>
      <c r="E573" s="73" t="n">
        <v>0</v>
      </c>
      <c r="F573" s="18" t="n">
        <v>0</v>
      </c>
      <c r="G573" s="20" t="n">
        <v>59</v>
      </c>
      <c r="H573" s="18" t="n">
        <v>0</v>
      </c>
      <c r="I573">
        <f t="array" ref="I573">IFERROR(INDEX($N$5:$N$271,MATCH(TRUE,EXACT(A573,$O$5:$O$271),)),"")</f>
        <v/>
      </c>
      <c r="J573" s="25">
        <f>IF(I573="","",IF(E573="","",G573))</f>
        <v/>
      </c>
      <c r="K573" s="26" t="n"/>
    </row>
    <row r="574">
      <c r="A574" s="15" t="inlineStr">
        <is>
          <t>Small Fruit Basket AMEN</t>
        </is>
      </c>
      <c r="B574" s="18" t="n">
        <v>0</v>
      </c>
      <c r="C574" s="73" t="n">
        <v>0</v>
      </c>
      <c r="D574" s="73" t="n">
        <v>0</v>
      </c>
      <c r="E574" s="73" t="n">
        <v>0</v>
      </c>
      <c r="F574" s="18" t="n">
        <v>0</v>
      </c>
      <c r="G574" s="20" t="n">
        <v>28</v>
      </c>
      <c r="H574" s="18" t="n">
        <v>0</v>
      </c>
      <c r="I574">
        <f t="array" ref="I574">IFERROR(INDEX($N$5:$N$271,MATCH(TRUE,EXACT(A574,$O$5:$O$271),)),"")</f>
        <v/>
      </c>
      <c r="J574" s="25">
        <f>IF(I574="","",IF(E574="","",G574))</f>
        <v/>
      </c>
      <c r="K574" s="26" t="n"/>
    </row>
    <row r="575">
      <c r="A575" s="15" t="inlineStr">
        <is>
          <t>Small Fruit Skewers AMEN</t>
        </is>
      </c>
      <c r="B575" s="18" t="n">
        <v>0</v>
      </c>
      <c r="C575" s="73" t="n">
        <v>0</v>
      </c>
      <c r="D575" s="73" t="n">
        <v>0</v>
      </c>
      <c r="E575" s="73" t="n">
        <v>0</v>
      </c>
      <c r="F575" s="18" t="n">
        <v>0</v>
      </c>
      <c r="G575" s="20" t="n">
        <v>1</v>
      </c>
      <c r="H575" s="18" t="n">
        <v>0</v>
      </c>
      <c r="I575">
        <f t="array" ref="I575">IFERROR(INDEX($N$5:$N$271,MATCH(TRUE,EXACT(A575,$O$5:$O$271),)),"")</f>
        <v/>
      </c>
      <c r="J575" s="25">
        <f>IF(I575="","",IF(E575="","",G575))</f>
        <v/>
      </c>
      <c r="K575" s="26" t="n"/>
    </row>
    <row r="576">
      <c r="A576" s="15" t="inlineStr">
        <is>
          <t>Small Gugelhupf AMEN</t>
        </is>
      </c>
      <c r="B576" s="18" t="n">
        <v>0</v>
      </c>
      <c r="C576" s="73" t="n">
        <v>0</v>
      </c>
      <c r="D576" s="73" t="n">
        <v>0</v>
      </c>
      <c r="E576" s="73" t="n">
        <v>0</v>
      </c>
      <c r="F576" s="18" t="n">
        <v>0</v>
      </c>
      <c r="G576" s="20" t="n">
        <v>383</v>
      </c>
      <c r="H576" s="18" t="n">
        <v>0</v>
      </c>
      <c r="I576">
        <f t="array" ref="I576">IFERROR(INDEX($N$5:$N$271,MATCH(TRUE,EXACT(A576,$O$5:$O$271),)),"")</f>
        <v/>
      </c>
      <c r="J576" s="25">
        <f>IF(I576="","",IF(E576="","",G576))</f>
        <v/>
      </c>
      <c r="K576" s="26" t="n"/>
    </row>
    <row r="577">
      <c r="A577" s="15" t="inlineStr">
        <is>
          <t>Small Mixed Nuts AMEN</t>
        </is>
      </c>
      <c r="B577" s="18" t="n">
        <v>0</v>
      </c>
      <c r="C577" s="73" t="n">
        <v>0</v>
      </c>
      <c r="D577" s="73" t="n">
        <v>0</v>
      </c>
      <c r="E577" s="73" t="n">
        <v>0</v>
      </c>
      <c r="F577" s="18" t="n">
        <v>0</v>
      </c>
      <c r="G577" s="20" t="n">
        <v>7</v>
      </c>
      <c r="H577" s="18" t="n">
        <v>0</v>
      </c>
      <c r="I577">
        <f t="array" ref="I577">IFERROR(INDEX($N$5:$N$271,MATCH(TRUE,EXACT(A577,$O$5:$O$271),)),"")</f>
        <v/>
      </c>
      <c r="J577" s="25">
        <f>IF(I577="","",IF(E577="","",G577))</f>
        <v/>
      </c>
      <c r="K577" s="26" t="n"/>
    </row>
    <row r="578">
      <c r="A578" s="15" t="inlineStr">
        <is>
          <t>Small Sliced Fruit AMEN</t>
        </is>
      </c>
      <c r="B578" s="18" t="n">
        <v>0</v>
      </c>
      <c r="C578" s="73" t="n">
        <v>0</v>
      </c>
      <c r="D578" s="73" t="n">
        <v>0</v>
      </c>
      <c r="E578" s="73" t="n">
        <v>0</v>
      </c>
      <c r="F578" s="18" t="n">
        <v>0</v>
      </c>
      <c r="G578" s="20" t="n">
        <v>10</v>
      </c>
      <c r="H578" s="18" t="n">
        <v>0</v>
      </c>
      <c r="I578">
        <f t="array" ref="I578">IFERROR(INDEX($N$5:$N$271,MATCH(TRUE,EXACT(A578,$O$5:$O$271),)),"")</f>
        <v/>
      </c>
      <c r="J578" s="25">
        <f>IF(I578="","",IF(E578="","",G578))</f>
        <v/>
      </c>
      <c r="K578" s="26" t="n"/>
    </row>
    <row r="579">
      <c r="A579" s="15" t="inlineStr">
        <is>
          <t>Small Sliced Fruit AMEN</t>
        </is>
      </c>
      <c r="B579" s="18" t="n">
        <v>0</v>
      </c>
      <c r="C579" s="73" t="n">
        <v>0</v>
      </c>
      <c r="D579" s="73" t="n">
        <v>0</v>
      </c>
      <c r="E579" s="73" t="n">
        <v>0</v>
      </c>
      <c r="F579" s="18" t="n">
        <v>0</v>
      </c>
      <c r="G579" s="20" t="n">
        <v>27</v>
      </c>
      <c r="H579" s="18" t="n">
        <v>0</v>
      </c>
      <c r="I579">
        <f t="array" ref="I579">IFERROR(INDEX($N$5:$N$271,MATCH(TRUE,EXACT(A579,$O$5:$O$271),)),"")</f>
        <v/>
      </c>
      <c r="J579" s="25">
        <f>IF(I579="","",IF(E579="","",G579))</f>
        <v/>
      </c>
      <c r="K579" s="26" t="n"/>
    </row>
    <row r="580">
      <c r="A580" s="15" t="inlineStr">
        <is>
          <t>Wedding Cake AMEN</t>
        </is>
      </c>
      <c r="B580" s="18" t="n">
        <v>0</v>
      </c>
      <c r="C580" s="73" t="n">
        <v>0</v>
      </c>
      <c r="D580" s="73" t="n">
        <v>0</v>
      </c>
      <c r="E580" s="73" t="n">
        <v>0</v>
      </c>
      <c r="F580" s="18" t="n">
        <v>0</v>
      </c>
      <c r="G580" s="20" t="n">
        <v>8</v>
      </c>
      <c r="H580" s="18" t="n">
        <v>0</v>
      </c>
      <c r="I580">
        <f t="array" ref="I580">IFERROR(INDEX($N$5:$N$271,MATCH(TRUE,EXACT(A580,$O$5:$O$271),)),"")</f>
        <v/>
      </c>
      <c r="J580" s="25">
        <f>IF(I580="","",IF(E580="","",G580))</f>
        <v/>
      </c>
      <c r="K580" s="26" t="n"/>
    </row>
    <row r="581">
      <c r="A581" s="15" t="inlineStr">
        <is>
          <t>Welcome Plate AMEN</t>
        </is>
      </c>
      <c r="B581" s="18" t="n">
        <v>0</v>
      </c>
      <c r="C581" s="73" t="n">
        <v>0</v>
      </c>
      <c r="D581" s="73" t="n">
        <v>0</v>
      </c>
      <c r="E581" s="73" t="n">
        <v>0</v>
      </c>
      <c r="F581" s="18" t="n">
        <v>0</v>
      </c>
      <c r="G581" s="20" t="n">
        <v>18</v>
      </c>
      <c r="H581" s="18" t="n">
        <v>0</v>
      </c>
      <c r="I581">
        <f t="array" ref="I581">IFERROR(INDEX($N$5:$N$271,MATCH(TRUE,EXACT(A581,$O$5:$O$271),)),"")</f>
        <v/>
      </c>
      <c r="J581" s="25">
        <f>IF(I581="","",IF(E581="","",G581))</f>
        <v/>
      </c>
      <c r="K581" s="26" t="n"/>
    </row>
    <row r="582">
      <c r="A582" s="17" t="inlineStr">
        <is>
          <t>Mini Bar Food</t>
        </is>
      </c>
      <c r="B582" s="13" t="n">
        <v>8</v>
      </c>
      <c r="C582" s="70" t="n">
        <v>5.12951052287024e-05</v>
      </c>
      <c r="D582" s="70" t="n">
        <v>7.066526042798421e-05</v>
      </c>
      <c r="E582" s="15" t="inlineStr"/>
      <c r="F582" s="13" t="n">
        <v>0</v>
      </c>
      <c r="G582" s="16" t="n">
        <v>2</v>
      </c>
      <c r="H582" s="13" t="n">
        <v>4</v>
      </c>
      <c r="I582">
        <f t="array" ref="I582">IFERROR(INDEX($N$5:$N$271,MATCH(TRUE,EXACT(A582,$O$5:$O$271),)),"")</f>
        <v/>
      </c>
      <c r="J582" s="25">
        <f>IF(I582="","",IF(E582="","",G582))</f>
        <v/>
      </c>
      <c r="K582" s="26" t="n"/>
    </row>
    <row r="583">
      <c r="A583" s="15" t="inlineStr">
        <is>
          <t>Sea Salt Crisp Mini</t>
        </is>
      </c>
      <c r="B583" s="18" t="n">
        <v>8</v>
      </c>
      <c r="C583" s="73" t="n">
        <v>5.12951052287024e-05</v>
      </c>
      <c r="D583" s="73" t="n">
        <v>7.066526042798421e-05</v>
      </c>
      <c r="E583" s="73" t="n">
        <v>1</v>
      </c>
      <c r="F583" s="18" t="n">
        <v>0</v>
      </c>
      <c r="G583" s="20" t="n">
        <v>2</v>
      </c>
      <c r="H583" s="18" t="n">
        <v>4</v>
      </c>
      <c r="I583">
        <f t="array" ref="I583">IFERROR(INDEX($N$5:$N$271,MATCH(TRUE,EXACT(A583,$O$5:$O$271),)),"")</f>
        <v/>
      </c>
      <c r="J583" s="25">
        <f>IF(I583="","",IF(E583="","",G583))</f>
        <v/>
      </c>
      <c r="K583" s="26" t="n"/>
    </row>
    <row r="584">
      <c r="A584" s="17" t="inlineStr">
        <is>
          <t>Messages</t>
        </is>
      </c>
      <c r="B584" s="13" t="n">
        <v>0</v>
      </c>
      <c r="C584" s="70" t="n">
        <v>0</v>
      </c>
      <c r="D584" s="70" t="n">
        <v>0</v>
      </c>
      <c r="E584" s="15" t="inlineStr"/>
      <c r="F584" s="13" t="n">
        <v>0</v>
      </c>
      <c r="G584" s="16" t="n">
        <v>1232</v>
      </c>
      <c r="H584" s="13" t="n">
        <v>0</v>
      </c>
      <c r="I584">
        <f t="array" ref="I584">IFERROR(INDEX($N$5:$N$271,MATCH(TRUE,EXACT(A584,$O$5:$O$271),)),"")</f>
        <v/>
      </c>
      <c r="J584" s="25">
        <f>IF(I584="","",IF(E584="","",G584))</f>
        <v/>
      </c>
      <c r="K584" s="26" t="n"/>
    </row>
    <row r="585">
      <c r="A585" s="15" t="inlineStr">
        <is>
          <t>BAR MESSAGE</t>
        </is>
      </c>
      <c r="B585" s="18" t="n">
        <v>0</v>
      </c>
      <c r="C585" s="73" t="n">
        <v>0</v>
      </c>
      <c r="D585" s="73" t="n">
        <v>0</v>
      </c>
      <c r="E585" s="73" t="n">
        <v>0</v>
      </c>
      <c r="F585" s="18" t="n">
        <v>0</v>
      </c>
      <c r="G585" s="20" t="n">
        <v>42</v>
      </c>
      <c r="H585" s="18" t="n">
        <v>0</v>
      </c>
      <c r="I585">
        <f t="array" ref="I585">IFERROR(INDEX($N$5:$N$271,MATCH(TRUE,EXACT(A585,$O$5:$O$271),)),"")</f>
        <v/>
      </c>
      <c r="J585" s="25">
        <f>IF(I585="","",IF(E585="","",G585))</f>
        <v/>
      </c>
      <c r="K585" s="26" t="n"/>
    </row>
    <row r="586">
      <c r="A586" s="15" t="inlineStr">
        <is>
          <t>FOOD MESSAGE</t>
        </is>
      </c>
      <c r="B586" s="18" t="n">
        <v>0</v>
      </c>
      <c r="C586" s="73" t="n">
        <v>0</v>
      </c>
      <c r="D586" s="73" t="n">
        <v>0</v>
      </c>
      <c r="E586" s="73" t="n">
        <v>0</v>
      </c>
      <c r="F586" s="18" t="n">
        <v>0</v>
      </c>
      <c r="G586" s="20" t="n">
        <v>1190</v>
      </c>
      <c r="H586" s="18" t="n">
        <v>0</v>
      </c>
      <c r="I586">
        <f t="array" ref="I586">IFERROR(INDEX($N$5:$N$271,MATCH(TRUE,EXACT(A586,$O$5:$O$271),)),"")</f>
        <v/>
      </c>
      <c r="J586" s="25">
        <f>IF(I586="","",IF(E586="","",G586))</f>
        <v/>
      </c>
      <c r="K586" s="26" t="n"/>
    </row>
    <row r="587">
      <c r="A587" s="15" t="inlineStr">
        <is>
          <t>Show Price Levels</t>
        </is>
      </c>
      <c r="I587">
        <f t="array" ref="I587">IFERROR(INDEX($N$5:$N$271,MATCH(TRUE,EXACT(A587,$O$5:$O$271),)),"")</f>
        <v/>
      </c>
      <c r="J587" s="25">
        <f>IF(I587="","",IF(E587="","",G587))</f>
        <v/>
      </c>
      <c r="K587" s="26" t="n"/>
    </row>
    <row r="588">
      <c r="A588" s="15" t="inlineStr">
        <is>
          <t>N_VIP7</t>
        </is>
      </c>
      <c r="B588" s="18" t="n">
        <v>0</v>
      </c>
      <c r="C588" s="73" t="n">
        <v>0</v>
      </c>
      <c r="D588" s="73" t="n">
        <v>0</v>
      </c>
      <c r="E588" s="73" t="n">
        <v>0</v>
      </c>
      <c r="F588" s="18" t="n">
        <v>0</v>
      </c>
      <c r="G588" s="20" t="n">
        <v>5</v>
      </c>
      <c r="H588" s="18" t="n">
        <v>0</v>
      </c>
      <c r="I588">
        <f t="array" ref="I588">IFERROR(INDEX($N$5:$N$271,MATCH(TRUE,EXACT(A588,$O$5:$O$271),)),"")</f>
        <v/>
      </c>
      <c r="J588" s="25">
        <f>IF(I588="","",IF(E588="","",G588))</f>
        <v/>
      </c>
      <c r="K588" s="26" t="n"/>
    </row>
    <row r="589">
      <c r="A589" s="15" t="inlineStr">
        <is>
          <t>N_VIP8_1_Cookies</t>
        </is>
      </c>
      <c r="B589" s="18" t="n">
        <v>0</v>
      </c>
      <c r="C589" s="73" t="n">
        <v>0</v>
      </c>
      <c r="D589" s="73" t="n">
        <v>0</v>
      </c>
      <c r="E589" s="73" t="n">
        <v>0</v>
      </c>
      <c r="F589" s="18" t="n">
        <v>0</v>
      </c>
      <c r="G589" s="20" t="n">
        <v>6</v>
      </c>
      <c r="H589" s="18" t="n">
        <v>0</v>
      </c>
      <c r="I589">
        <f t="array" ref="I589">IFERROR(INDEX($N$5:$N$271,MATCH(TRUE,EXACT(A589,$O$5:$O$271),)),"")</f>
        <v/>
      </c>
      <c r="J589" s="25">
        <f>IF(I589="","",IF(E589="","",G589))</f>
        <v/>
      </c>
      <c r="K589" s="26" t="n"/>
    </row>
    <row r="590">
      <c r="A590" s="15" t="inlineStr">
        <is>
          <t>N_VIP8_1_Gugelhupf</t>
        </is>
      </c>
      <c r="B590" s="18" t="n">
        <v>0</v>
      </c>
      <c r="C590" s="73" t="n">
        <v>0</v>
      </c>
      <c r="D590" s="73" t="n">
        <v>0</v>
      </c>
      <c r="E590" s="73" t="n">
        <v>0</v>
      </c>
      <c r="F590" s="18" t="n">
        <v>0</v>
      </c>
      <c r="G590" s="20" t="n">
        <v>10</v>
      </c>
      <c r="H590" s="18" t="n">
        <v>0</v>
      </c>
      <c r="I590">
        <f t="array" ref="I590">IFERROR(INDEX($N$5:$N$271,MATCH(TRUE,EXACT(A590,$O$5:$O$271),)),"")</f>
        <v/>
      </c>
      <c r="J590" s="25">
        <f>IF(I590="","",IF(E590="","",G590))</f>
        <v/>
      </c>
      <c r="K590" s="26" t="n"/>
    </row>
    <row r="591">
      <c r="A591" s="15" t="inlineStr">
        <is>
          <t>Plate Cookies AMEN</t>
        </is>
      </c>
      <c r="B591" s="18" t="n">
        <v>0</v>
      </c>
      <c r="C591" s="73" t="n">
        <v>0</v>
      </c>
      <c r="D591" s="73" t="n">
        <v>0</v>
      </c>
      <c r="E591" s="73" t="n">
        <v>0</v>
      </c>
      <c r="F591" s="18" t="n">
        <v>0</v>
      </c>
      <c r="G591" s="20" t="n">
        <v>19</v>
      </c>
      <c r="H591" s="18" t="n">
        <v>0</v>
      </c>
      <c r="I591">
        <f t="array" ref="I591">IFERROR(INDEX($N$5:$N$271,MATCH(TRUE,EXACT(A591,$O$5:$O$271),)),"")</f>
        <v/>
      </c>
      <c r="J591" s="25">
        <f>IF(I591="","",IF(E591="","",G591))</f>
        <v/>
      </c>
      <c r="K591" s="26" t="n"/>
    </row>
    <row r="592">
      <c r="A592" s="15" t="inlineStr">
        <is>
          <t>Small Cheese Selection AMEN</t>
        </is>
      </c>
      <c r="B592" s="18" t="n">
        <v>0</v>
      </c>
      <c r="C592" s="73" t="n">
        <v>0</v>
      </c>
      <c r="D592" s="73" t="n">
        <v>0</v>
      </c>
      <c r="E592" s="73" t="n">
        <v>0</v>
      </c>
      <c r="F592" s="18" t="n">
        <v>0</v>
      </c>
      <c r="G592" s="20" t="n">
        <v>3</v>
      </c>
      <c r="H592" s="18" t="n">
        <v>0</v>
      </c>
      <c r="I592">
        <f t="array" ref="I592">IFERROR(INDEX($N$5:$N$271,MATCH(TRUE,EXACT(A592,$O$5:$O$271),)),"")</f>
        <v/>
      </c>
      <c r="J592" s="25">
        <f>IF(I592="","",IF(E592="","",G592))</f>
        <v/>
      </c>
      <c r="K592" s="26" t="n"/>
    </row>
    <row r="593">
      <c r="A593" s="15" t="inlineStr">
        <is>
          <t>Small Choc Dipped Strawberries A</t>
        </is>
      </c>
      <c r="B593" s="18" t="n">
        <v>0</v>
      </c>
      <c r="C593" s="73" t="n">
        <v>0</v>
      </c>
      <c r="D593" s="73" t="n">
        <v>0</v>
      </c>
      <c r="E593" s="73" t="n">
        <v>0</v>
      </c>
      <c r="F593" s="18" t="n">
        <v>0</v>
      </c>
      <c r="G593" s="20" t="n">
        <v>14</v>
      </c>
      <c r="H593" s="18" t="n">
        <v>0</v>
      </c>
      <c r="I593">
        <f t="array" ref="I593">IFERROR(INDEX($N$5:$N$271,MATCH(TRUE,EXACT(A593,$O$5:$O$271),)),"")</f>
        <v/>
      </c>
      <c r="J593" s="25">
        <f>IF(I593="","",IF(E593="","",G593))</f>
        <v/>
      </c>
      <c r="K593" s="26" t="n"/>
    </row>
    <row r="594">
      <c r="A594" s="15" t="inlineStr">
        <is>
          <t>Small Fruit AMEN</t>
        </is>
      </c>
      <c r="B594" s="18" t="n">
        <v>0</v>
      </c>
      <c r="C594" s="73" t="n">
        <v>0</v>
      </c>
      <c r="D594" s="73" t="n">
        <v>0</v>
      </c>
      <c r="E594" s="73" t="n">
        <v>0</v>
      </c>
      <c r="F594" s="18" t="n">
        <v>0</v>
      </c>
      <c r="G594" s="20" t="n">
        <v>103</v>
      </c>
      <c r="H594" s="18" t="n">
        <v>0</v>
      </c>
      <c r="I594">
        <f t="array" ref="I594">IFERROR(INDEX($N$5:$N$271,MATCH(TRUE,EXACT(A594,$O$5:$O$271),)),"")</f>
        <v/>
      </c>
      <c r="J594" s="25">
        <f>IF(I594="","",IF(E594="","",G594))</f>
        <v/>
      </c>
      <c r="K594" s="26" t="n"/>
    </row>
    <row r="595">
      <c r="A595" s="15" t="inlineStr">
        <is>
          <t>Small Fruit Basket AMEN</t>
        </is>
      </c>
      <c r="B595" s="18" t="n">
        <v>0</v>
      </c>
      <c r="C595" s="73" t="n">
        <v>0</v>
      </c>
      <c r="D595" s="73" t="n">
        <v>0</v>
      </c>
      <c r="E595" s="73" t="n">
        <v>0</v>
      </c>
      <c r="F595" s="18" t="n">
        <v>0</v>
      </c>
      <c r="G595" s="20" t="n">
        <v>61</v>
      </c>
      <c r="H595" s="18" t="n">
        <v>0</v>
      </c>
      <c r="I595">
        <f t="array" ref="I595">IFERROR(INDEX($N$5:$N$271,MATCH(TRUE,EXACT(A595,$O$5:$O$271),)),"")</f>
        <v/>
      </c>
      <c r="J595" s="25">
        <f>IF(I595="","",IF(E595="","",G595))</f>
        <v/>
      </c>
      <c r="K595" s="26" t="n"/>
    </row>
    <row r="596">
      <c r="A596" s="15" t="inlineStr">
        <is>
          <t>Small Fruit Skewers AMEN</t>
        </is>
      </c>
      <c r="B596" s="18" t="n">
        <v>0</v>
      </c>
      <c r="C596" s="73" t="n">
        <v>0</v>
      </c>
      <c r="D596" s="73" t="n">
        <v>0</v>
      </c>
      <c r="E596" s="73" t="n">
        <v>0</v>
      </c>
      <c r="F596" s="18" t="n">
        <v>0</v>
      </c>
      <c r="G596" s="20" t="n">
        <v>7</v>
      </c>
      <c r="H596" s="18" t="n">
        <v>0</v>
      </c>
      <c r="I596">
        <f t="array" ref="I596">IFERROR(INDEX($N$5:$N$271,MATCH(TRUE,EXACT(A596,$O$5:$O$271),)),"")</f>
        <v/>
      </c>
      <c r="J596" s="25">
        <f>IF(I596="","",IF(E596="","",G596))</f>
        <v/>
      </c>
      <c r="K596" s="26" t="n"/>
    </row>
    <row r="597">
      <c r="A597" s="15" t="inlineStr">
        <is>
          <t>Small Gugelhupf AMEN</t>
        </is>
      </c>
      <c r="B597" s="18" t="n">
        <v>0</v>
      </c>
      <c r="C597" s="73" t="n">
        <v>0</v>
      </c>
      <c r="D597" s="73" t="n">
        <v>0</v>
      </c>
      <c r="E597" s="73" t="n">
        <v>0</v>
      </c>
      <c r="F597" s="18" t="n">
        <v>0</v>
      </c>
      <c r="G597" s="20" t="n">
        <v>162</v>
      </c>
      <c r="H597" s="18" t="n">
        <v>0</v>
      </c>
      <c r="I597">
        <f t="array" ref="I597">IFERROR(INDEX($N$5:$N$271,MATCH(TRUE,EXACT(A597,$O$5:$O$271),)),"")</f>
        <v/>
      </c>
      <c r="J597" s="25">
        <f>IF(I597="","",IF(E597="","",G597))</f>
        <v/>
      </c>
      <c r="K597" s="26" t="n"/>
    </row>
    <row r="598">
      <c r="A598" s="15" t="inlineStr">
        <is>
          <t>Small Mixed Nuts AMEN</t>
        </is>
      </c>
      <c r="B598" s="18" t="n">
        <v>0</v>
      </c>
      <c r="C598" s="73" t="n">
        <v>0</v>
      </c>
      <c r="D598" s="73" t="n">
        <v>0</v>
      </c>
      <c r="E598" s="73" t="n">
        <v>0</v>
      </c>
      <c r="F598" s="18" t="n">
        <v>0</v>
      </c>
      <c r="G598" s="20" t="n">
        <v>6</v>
      </c>
      <c r="H598" s="18" t="n">
        <v>0</v>
      </c>
      <c r="I598">
        <f t="array" ref="I598">IFERROR(INDEX($N$5:$N$271,MATCH(TRUE,EXACT(A598,$O$5:$O$271),)),"")</f>
        <v/>
      </c>
      <c r="J598" s="25">
        <f>IF(I598="","",IF(E598="","",G598))</f>
        <v/>
      </c>
      <c r="K598" s="26" t="n"/>
    </row>
    <row r="599">
      <c r="A599" s="15" t="inlineStr">
        <is>
          <t>Small Sliced Fruit AMEN</t>
        </is>
      </c>
      <c r="B599" s="18" t="n">
        <v>0</v>
      </c>
      <c r="C599" s="73" t="n">
        <v>0</v>
      </c>
      <c r="D599" s="73" t="n">
        <v>0</v>
      </c>
      <c r="E599" s="73" t="n">
        <v>0</v>
      </c>
      <c r="F599" s="18" t="n">
        <v>0</v>
      </c>
      <c r="G599" s="20" t="n">
        <v>4</v>
      </c>
      <c r="H599" s="18" t="n">
        <v>0</v>
      </c>
      <c r="I599">
        <f t="array" ref="I599">IFERROR(INDEX($N$5:$N$271,MATCH(TRUE,EXACT(A599,$O$5:$O$271),)),"")</f>
        <v/>
      </c>
      <c r="J599" s="25">
        <f>IF(I599="","",IF(E599="","",G599))</f>
        <v/>
      </c>
      <c r="K599" s="26" t="n"/>
    </row>
    <row r="600">
      <c r="A600" s="15" t="inlineStr">
        <is>
          <t>Small Sliced Fruit AMEN</t>
        </is>
      </c>
      <c r="B600" s="18" t="n">
        <v>0</v>
      </c>
      <c r="C600" s="73" t="n">
        <v>0</v>
      </c>
      <c r="D600" s="73" t="n">
        <v>0</v>
      </c>
      <c r="E600" s="73" t="n">
        <v>0</v>
      </c>
      <c r="F600" s="18" t="n">
        <v>0</v>
      </c>
      <c r="G600" s="20" t="n">
        <v>25</v>
      </c>
      <c r="H600" s="18" t="n">
        <v>0</v>
      </c>
      <c r="I600">
        <f t="array" ref="I600">IFERROR(INDEX($N$5:$N$271,MATCH(TRUE,EXACT(A600,$O$5:$O$271),)),"")</f>
        <v/>
      </c>
      <c r="J600" s="25">
        <f>IF(I600="","",IF(E600="","",G600))</f>
        <v/>
      </c>
      <c r="K600" s="26" t="n"/>
    </row>
    <row r="601">
      <c r="A601" s="15" t="inlineStr">
        <is>
          <t>VIP Fruit AMEN</t>
        </is>
      </c>
      <c r="B601" s="18" t="n">
        <v>0</v>
      </c>
      <c r="C601" s="73" t="n">
        <v>0</v>
      </c>
      <c r="D601" s="73" t="n">
        <v>0</v>
      </c>
      <c r="E601" s="73" t="n">
        <v>0</v>
      </c>
      <c r="F601" s="18" t="n">
        <v>0</v>
      </c>
      <c r="G601" s="20" t="n">
        <v>12</v>
      </c>
      <c r="H601" s="18" t="n">
        <v>0</v>
      </c>
      <c r="I601">
        <f t="array" ref="I601">IFERROR(INDEX($N$5:$N$271,MATCH(TRUE,EXACT(A601,$O$5:$O$271),)),"")</f>
        <v/>
      </c>
      <c r="J601" s="25">
        <f>IF(I601="","",IF(E601="","",G601))</f>
        <v/>
      </c>
      <c r="K601" s="26" t="n"/>
    </row>
    <row r="602">
      <c r="A602" s="15" t="inlineStr">
        <is>
          <t>Wedding Cake AMEN</t>
        </is>
      </c>
      <c r="B602" s="18" t="n">
        <v>0</v>
      </c>
      <c r="C602" s="73" t="n">
        <v>0</v>
      </c>
      <c r="D602" s="73" t="n">
        <v>0</v>
      </c>
      <c r="E602" s="73" t="n">
        <v>0</v>
      </c>
      <c r="F602" s="18" t="n">
        <v>0</v>
      </c>
      <c r="G602" s="20" t="n">
        <v>2</v>
      </c>
      <c r="H602" s="18" t="n">
        <v>0</v>
      </c>
      <c r="I602">
        <f t="array" ref="I602">IFERROR(INDEX($N$5:$N$271,MATCH(TRUE,EXACT(A602,$O$5:$O$271),)),"")</f>
        <v/>
      </c>
      <c r="J602" s="25">
        <f>IF(I602="","",IF(E602="","",G602))</f>
        <v/>
      </c>
      <c r="K602" s="26" t="n"/>
    </row>
    <row r="603">
      <c r="A603" s="15" t="inlineStr">
        <is>
          <t>Welcome Plate AMEN</t>
        </is>
      </c>
      <c r="B603" s="18" t="n">
        <v>0</v>
      </c>
      <c r="C603" s="73" t="n">
        <v>0</v>
      </c>
      <c r="D603" s="73" t="n">
        <v>0</v>
      </c>
      <c r="E603" s="73" t="n">
        <v>0</v>
      </c>
      <c r="F603" s="18" t="n">
        <v>0</v>
      </c>
      <c r="G603" s="20" t="n">
        <v>18</v>
      </c>
      <c r="H603" s="18" t="n">
        <v>0</v>
      </c>
      <c r="I603">
        <f t="array" ref="I603">IFERROR(INDEX($N$5:$N$271,MATCH(TRUE,EXACT(A603,$O$5:$O$271),)),"")</f>
        <v/>
      </c>
      <c r="J603" s="25">
        <f>IF(I603="","",IF(E603="","",G603))</f>
        <v/>
      </c>
      <c r="K603" s="26" t="n"/>
    </row>
    <row r="604">
      <c r="A604" s="17" t="inlineStr">
        <is>
          <t>Messages</t>
        </is>
      </c>
      <c r="B604" s="13" t="n">
        <v>0</v>
      </c>
      <c r="C604" s="70" t="n">
        <v>0</v>
      </c>
      <c r="D604" s="70" t="n">
        <v>0</v>
      </c>
      <c r="E604" s="15" t="inlineStr"/>
      <c r="F604" s="13" t="n">
        <v>0</v>
      </c>
      <c r="G604" s="16" t="n">
        <v>2503</v>
      </c>
      <c r="H604" s="13" t="n">
        <v>0</v>
      </c>
      <c r="I604">
        <f t="array" ref="I604">IFERROR(INDEX($N$5:$N$271,MATCH(TRUE,EXACT(A604,$O$5:$O$271),)),"")</f>
        <v/>
      </c>
      <c r="J604" s="25">
        <f>IF(I604="","",IF(E604="","",G604))</f>
        <v/>
      </c>
      <c r="K604" s="26" t="n"/>
    </row>
    <row r="605">
      <c r="A605" s="15" t="inlineStr">
        <is>
          <t>BAR MESSAGE</t>
        </is>
      </c>
      <c r="B605" s="18" t="n">
        <v>0</v>
      </c>
      <c r="C605" s="73" t="n">
        <v>0</v>
      </c>
      <c r="D605" s="73" t="n">
        <v>0</v>
      </c>
      <c r="E605" s="73" t="n">
        <v>0</v>
      </c>
      <c r="F605" s="18" t="n">
        <v>0</v>
      </c>
      <c r="G605" s="20" t="n">
        <v>95</v>
      </c>
      <c r="H605" s="18" t="n">
        <v>0</v>
      </c>
      <c r="I605">
        <f t="array" ref="I605">IFERROR(INDEX($N$5:$N$271,MATCH(TRUE,EXACT(A605,$O$5:$O$271),)),"")</f>
        <v/>
      </c>
      <c r="J605" s="25">
        <f>IF(I605="","",IF(E605="","",G605))</f>
        <v/>
      </c>
      <c r="K605" s="26" t="n"/>
    </row>
    <row r="606">
      <c r="A606" s="15" t="inlineStr">
        <is>
          <t>FOOD MESSAGE</t>
        </is>
      </c>
      <c r="B606" s="18" t="n">
        <v>0</v>
      </c>
      <c r="C606" s="73" t="n">
        <v>0</v>
      </c>
      <c r="D606" s="73" t="n">
        <v>0</v>
      </c>
      <c r="E606" s="73" t="n">
        <v>0</v>
      </c>
      <c r="F606" s="18" t="n">
        <v>0</v>
      </c>
      <c r="G606" s="20" t="n">
        <v>2408</v>
      </c>
      <c r="H606" s="18" t="n">
        <v>0</v>
      </c>
      <c r="I606">
        <f t="array" ref="I606">IFERROR(INDEX($N$5:$N$271,MATCH(TRUE,EXACT(A606,$O$5:$O$271),)),"")</f>
        <v/>
      </c>
      <c r="J606" s="25">
        <f>IF(I606="","",IF(E606="","",G606))</f>
        <v/>
      </c>
      <c r="K606" s="26" t="n"/>
    </row>
    <row r="607">
      <c r="A607" s="15" t="inlineStr">
        <is>
          <t>Show Price Levels</t>
        </is>
      </c>
      <c r="I607">
        <f t="array" ref="I607">IFERROR(INDEX($N$5:$N$271,MATCH(TRUE,EXACT(A607,$O$5:$O$271),)),"")</f>
        <v/>
      </c>
      <c r="J607" s="25">
        <f>IF(I607="","",IF(E607="","",G607))</f>
        <v/>
      </c>
      <c r="K607" s="26" t="n"/>
    </row>
  </sheetData>
  <autoFilter ref="A5:K607"/>
  <conditionalFormatting sqref="I1:K4 I5 I608:K1048576 J6:J607">
    <cfRule type="containsText" priority="1" operator="between" dxfId="0" text="&quot;&quot;">
      <formula>NOT(ISERROR(SEARCH("""""",I1)))</formula>
    </cfRule>
    <cfRule type="cellIs" priority="2" operator="equal" dxfId="0">
      <formula>""""""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B1" sqref="B1"/>
    </sheetView>
  </sheetViews>
  <sheetFormatPr baseColWidth="8" defaultColWidth="9" defaultRowHeight="14" outlineLevelRow="7"/>
  <sheetData>
    <row r="1">
      <c r="A1" s="1" t="n">
        <v>10</v>
      </c>
      <c r="B1" s="1">
        <f>RANK(A1,$A$1:$A$2998,0)+COUNTIF($A$1:A1,A1)-1</f>
        <v/>
      </c>
      <c r="C1" s="2" t="n"/>
      <c r="D1" s="2" t="n"/>
    </row>
    <row r="2">
      <c r="A2" s="1" t="n">
        <v>10</v>
      </c>
      <c r="B2" s="1">
        <f>RANK(A2,$A$1:$A$2998,0)+COUNTIF($A$1:A2,A2)-1</f>
        <v/>
      </c>
      <c r="C2" s="2" t="n"/>
      <c r="D2" s="2" t="n"/>
    </row>
    <row r="3">
      <c r="A3" s="1" t="n">
        <v>10</v>
      </c>
      <c r="B3" s="1">
        <f>RANK(A3,$A$1:$A$2998,0)+COUNTIF($A$1:A3,A3)-1</f>
        <v/>
      </c>
      <c r="C3" s="2" t="n"/>
      <c r="D3" s="2" t="n"/>
    </row>
    <row r="4">
      <c r="A4" s="1" t="n">
        <v>20</v>
      </c>
      <c r="B4" s="1">
        <f>RANK(A4,$A$1:$A$2998,0)+COUNTIF($A$1:A4,A4)-1</f>
        <v/>
      </c>
      <c r="C4" s="2" t="n"/>
      <c r="D4" s="2" t="n"/>
    </row>
    <row r="5">
      <c r="A5" s="1" t="n">
        <v>30</v>
      </c>
      <c r="B5" s="1">
        <f>RANK(A5,$A$1:$A$2998,0)+COUNTIF($A$1:A5,A5)-1</f>
        <v/>
      </c>
      <c r="C5" s="2" t="n"/>
      <c r="D5" s="2" t="n"/>
    </row>
    <row r="6">
      <c r="A6" s="1" t="n">
        <v>40</v>
      </c>
      <c r="B6" s="1">
        <f>RANK(A6,$A$1:$A$2998,0)+COUNTIF($A$1:A6,A6)-1</f>
        <v/>
      </c>
      <c r="C6" s="2" t="n"/>
      <c r="D6" s="2" t="n"/>
    </row>
    <row r="7">
      <c r="A7" s="1" t="n">
        <v>50</v>
      </c>
      <c r="B7" s="1">
        <f>RANK(A7,$A$1:$A$2998,0)+COUNTIF($A$1:A7,A7)-1</f>
        <v/>
      </c>
      <c r="C7" s="2" t="n"/>
      <c r="D7" s="2" t="n"/>
    </row>
    <row r="8">
      <c r="A8" s="1" t="inlineStr">
        <is>
          <t>-</t>
        </is>
      </c>
      <c r="B8" s="1">
        <f>RANK(A8,$A$1:$A$2998,0)+COUNTIF($A$1:A8,A8)-1</f>
        <v/>
      </c>
      <c r="C8" s="2" t="n"/>
      <c r="D8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2021-09-03T09:35:00Z</dcterms:created>
  <dcterms:modified xmlns:dcterms="http://purl.org/dc/terms/" xmlns:xsi="http://www.w3.org/2001/XMLSchema-instance" xsi:type="dcterms:W3CDTF">2026-09-06T00:41:24Z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  <property name="ICV" fmtid="{D5CDD505-2E9C-101B-9397-08002B2CF9AE}" pid="4">
    <vt:lpwstr xmlns:vt="http://schemas.openxmlformats.org/officeDocument/2006/docPropsVTypes">7543C8F10F2E49EC8E792E149561E097_13</vt:lpwstr>
  </property>
  <property name="KSOProductBuildVer" fmtid="{D5CDD505-2E9C-101B-9397-08002B2CF9AE}" pid="5">
    <vt:lpwstr xmlns:vt="http://schemas.openxmlformats.org/officeDocument/2006/docPropsVTypes">2052-12.1.0.16729</vt:lpwstr>
  </property>
</Properties>
</file>