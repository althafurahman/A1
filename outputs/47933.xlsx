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amount" sheetId="3" state="visible" r:id="rId3"/>
  </sheets>
  <definedNames>
    <definedName name="_xlnm._FilterDatabase" localSheetId="0" hidden="1">'master'!$A$1:$F$154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7" borderId="7" applyAlignment="1">
      <alignment vertical="center"/>
    </xf>
    <xf numFmtId="0" fontId="15" fillId="8" borderId="8" applyAlignment="1">
      <alignment vertical="center"/>
    </xf>
    <xf numFmtId="0" fontId="16" fillId="8" borderId="7" applyAlignment="1">
      <alignment vertical="center"/>
    </xf>
    <xf numFmtId="0" fontId="17" fillId="9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7">
    <xf numFmtId="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tabSelected="1" workbookViewId="0">
      <selection activeCell="E2" sqref="E2"/>
    </sheetView>
  </sheetViews>
  <sheetFormatPr baseColWidth="8" defaultColWidth="9" defaultRowHeight="14"/>
  <cols>
    <col width="11.2833333333333" customWidth="1" min="1" max="1"/>
  </cols>
  <sheetData>
    <row r="1" ht="28" customHeight="1">
      <c r="A1" s="8" t="inlineStr">
        <is>
          <t>Employee Number</t>
        </is>
      </c>
      <c r="B1" t="inlineStr">
        <is>
          <t>Hours</t>
        </is>
      </c>
      <c r="C1" t="inlineStr">
        <is>
          <t>Amount</t>
        </is>
      </c>
      <c r="D1" t="inlineStr">
        <is>
          <t>Rate</t>
        </is>
      </c>
      <c r="E1" t="inlineStr">
        <is>
          <t>Sum</t>
        </is>
      </c>
    </row>
    <row r="2">
      <c r="A2" s="13" t="n">
        <v>525794</v>
      </c>
      <c r="B2">
        <f>VLOOKUP(A2,Hrs!$A:$B,2,FALSE)</f>
        <v/>
      </c>
      <c r="C2">
        <f>INDEX(amount!A:A,MATCH(A2,amount!B:B,0))</f>
        <v/>
      </c>
      <c r="D2">
        <f>ROUND(C2/52/B2,2)</f>
        <v/>
      </c>
      <c r="E2" t="n">
        <v>27.915</v>
      </c>
    </row>
    <row r="3">
      <c r="A3" s="13" t="n">
        <v>526050</v>
      </c>
      <c r="B3">
        <f>VLOOKUP(A3,Hrs!$A:$B,2,FALSE)</f>
        <v/>
      </c>
      <c r="C3">
        <f>INDEX(amount!A:A,MATCH(A3,amount!B:B,0))</f>
        <v/>
      </c>
      <c r="D3">
        <f>ROUND(C3/52/B3,2)</f>
        <v/>
      </c>
      <c r="E3" t="n">
        <v>46.47</v>
      </c>
    </row>
    <row r="4">
      <c r="A4" s="13" t="n">
        <v>526149</v>
      </c>
      <c r="B4">
        <f>VLOOKUP(A4,Hrs!$A:$B,2,FALSE)</f>
        <v/>
      </c>
      <c r="C4">
        <f>INDEX(amount!A:A,MATCH(A4,amount!B:B,0))</f>
        <v/>
      </c>
      <c r="D4">
        <f>ROUND(C4/52/B4,2)</f>
        <v/>
      </c>
      <c r="E4" t="n">
        <v>62.64</v>
      </c>
    </row>
    <row r="5">
      <c r="A5" s="13" t="n">
        <v>524844</v>
      </c>
      <c r="B5">
        <f>VLOOKUP(A5,Hrs!$A:$B,2,FALSE)</f>
        <v/>
      </c>
      <c r="C5">
        <f>INDEX(amount!A:A,MATCH(A5,amount!B:B,0))</f>
        <v/>
      </c>
      <c r="D5">
        <f>ROUND(C5/52/B5,2)</f>
        <v/>
      </c>
      <c r="E5" t="n">
        <v>12.96</v>
      </c>
    </row>
    <row r="6">
      <c r="A6" s="13" t="n">
        <v>525838</v>
      </c>
      <c r="B6">
        <f>VLOOKUP(A6,Hrs!$A:$B,2,FALSE)</f>
        <v/>
      </c>
      <c r="C6">
        <f>INDEX(amount!A:A,MATCH(A6,amount!B:B,0))</f>
        <v/>
      </c>
      <c r="D6">
        <f>ROUND(C6/52/B6,2)</f>
        <v/>
      </c>
      <c r="E6" t="n">
        <v>46.8</v>
      </c>
    </row>
    <row r="7">
      <c r="A7" s="10" t="n">
        <v>525591</v>
      </c>
      <c r="B7">
        <f>VLOOKUP(A7,Hrs!$A:$B,2,FALSE)</f>
        <v/>
      </c>
      <c r="C7">
        <f>INDEX(amount!A:A,MATCH(A7,amount!B:B,0))</f>
        <v/>
      </c>
      <c r="D7">
        <f>ROUND(C7/52/B7,2)</f>
        <v/>
      </c>
      <c r="E7" t="n">
        <v>17.715</v>
      </c>
    </row>
    <row r="8">
      <c r="A8" s="13" t="n">
        <v>522787</v>
      </c>
      <c r="B8">
        <f>VLOOKUP(A8,Hrs!$A:$B,2,FALSE)</f>
        <v/>
      </c>
      <c r="C8">
        <f>INDEX(amount!A:A,MATCH(A8,amount!B:B,0))</f>
        <v/>
      </c>
      <c r="D8">
        <f>ROUND(C8/52/B8,2)</f>
        <v/>
      </c>
      <c r="E8" t="n">
        <v>41.19</v>
      </c>
    </row>
    <row r="9">
      <c r="A9" s="14" t="n">
        <v>525597</v>
      </c>
      <c r="B9">
        <f>VLOOKUP(A9,Hrs!$A:$B,2,FALSE)</f>
        <v/>
      </c>
      <c r="C9">
        <f>INDEX(amount!A:A,MATCH(A9,amount!B:B,0))</f>
        <v/>
      </c>
      <c r="D9">
        <f>ROUND(C9/52/B9,2)</f>
        <v/>
      </c>
      <c r="E9" t="n">
        <v>8.024999999999999</v>
      </c>
    </row>
    <row r="10">
      <c r="A10" s="13" t="n">
        <v>525990</v>
      </c>
      <c r="B10">
        <f>VLOOKUP(A10,Hrs!$A:$B,2,FALSE)</f>
        <v/>
      </c>
      <c r="C10">
        <f>INDEX(amount!A:A,MATCH(A10,amount!B:B,0))</f>
        <v/>
      </c>
      <c r="D10">
        <f>ROUND(C10/52/B10,2)</f>
        <v/>
      </c>
      <c r="E10" t="n">
        <v>27.12</v>
      </c>
    </row>
    <row r="11">
      <c r="A11" s="13" t="n">
        <v>525718</v>
      </c>
      <c r="B11">
        <f>VLOOKUP(A11,Hrs!$A:$B,2,FALSE)</f>
        <v/>
      </c>
      <c r="C11">
        <f>INDEX(amount!A:A,MATCH(A11,amount!B:B,0))</f>
        <v/>
      </c>
      <c r="D11">
        <f>ROUND(C11/52/B11,2)</f>
        <v/>
      </c>
      <c r="E11" t="n">
        <v>54.375</v>
      </c>
    </row>
    <row r="12">
      <c r="A12" s="13" t="n">
        <v>522721</v>
      </c>
      <c r="B12">
        <f>VLOOKUP(A12,Hrs!$A:$B,2,FALSE)</f>
        <v/>
      </c>
      <c r="C12">
        <f>INDEX(amount!A:A,MATCH(A12,amount!B:B,0))</f>
        <v/>
      </c>
      <c r="D12">
        <f>ROUND(C12/52/B12,2)</f>
        <v/>
      </c>
      <c r="E12" t="n">
        <v>22.29</v>
      </c>
    </row>
    <row r="13">
      <c r="A13" s="13" t="n">
        <v>525080</v>
      </c>
      <c r="B13">
        <f>VLOOKUP(A13,Hrs!$A:$B,2,FALSE)</f>
        <v/>
      </c>
      <c r="C13">
        <f>INDEX(amount!A:A,MATCH(A13,amount!B:B,0))</f>
        <v/>
      </c>
      <c r="D13">
        <f>ROUND(C13/52/B13,2)</f>
        <v/>
      </c>
      <c r="E13" t="n">
        <v>17.88</v>
      </c>
    </row>
    <row r="14">
      <c r="A14" s="13" t="n">
        <v>521207</v>
      </c>
      <c r="B14">
        <f>VLOOKUP(A14,Hrs!$A:$B,2,FALSE)</f>
        <v/>
      </c>
      <c r="C14">
        <f>INDEX(amount!A:A,MATCH(A14,amount!B:B,0))</f>
        <v/>
      </c>
      <c r="D14">
        <f>ROUND(C14/52/B14,2)</f>
        <v/>
      </c>
      <c r="E14" t="n">
        <v>119.98</v>
      </c>
    </row>
    <row r="15">
      <c r="A15" s="13" t="n">
        <v>520560</v>
      </c>
      <c r="B15">
        <f>VLOOKUP(A15,Hrs!$A:$B,2,FALSE)</f>
        <v/>
      </c>
      <c r="C15">
        <f>INDEX(amount!A:A,MATCH(A15,amount!B:B,0))</f>
        <v/>
      </c>
      <c r="D15">
        <f>ROUND(C15/52/B15,2)</f>
        <v/>
      </c>
      <c r="E15" t="n">
        <v>8.73</v>
      </c>
    </row>
    <row r="16">
      <c r="A16" s="13" t="n">
        <v>526015</v>
      </c>
      <c r="B16">
        <f>VLOOKUP(A16,Hrs!$A:$B,2,FALSE)</f>
        <v/>
      </c>
      <c r="C16">
        <f>INDEX(amount!A:A,MATCH(A16,amount!B:B,0))</f>
        <v/>
      </c>
      <c r="D16">
        <f>ROUND(C16/52/B16,2)</f>
        <v/>
      </c>
      <c r="E16" t="n">
        <v>22.02</v>
      </c>
    </row>
    <row r="17">
      <c r="A17" s="13" t="n">
        <v>525733</v>
      </c>
      <c r="B17">
        <f>VLOOKUP(A17,Hrs!$A:$B,2,FALSE)</f>
        <v/>
      </c>
      <c r="C17">
        <f>INDEX(amount!A:A,MATCH(A17,amount!B:B,0))</f>
        <v/>
      </c>
      <c r="D17">
        <f>ROUND(C17/52/B17,2)</f>
        <v/>
      </c>
      <c r="E17" t="n">
        <v>70.19999999999999</v>
      </c>
    </row>
    <row r="18">
      <c r="A18" s="12" t="n">
        <v>522724</v>
      </c>
      <c r="B18">
        <f>VLOOKUP(A18,Hrs!$A:$B,2,FALSE)</f>
        <v/>
      </c>
      <c r="C18">
        <f>INDEX(amount!A:A,MATCH(A18,amount!B:B,0))</f>
        <v/>
      </c>
      <c r="D18">
        <f>ROUND(C18/52/B18,2)</f>
        <v/>
      </c>
      <c r="E18" t="n">
        <v>32.28</v>
      </c>
    </row>
    <row r="19">
      <c r="A19" s="13" t="n">
        <v>522729</v>
      </c>
      <c r="B19">
        <f>VLOOKUP(A19,Hrs!$A:$B,2,FALSE)</f>
        <v/>
      </c>
      <c r="C19">
        <f>INDEX(amount!A:A,MATCH(A19,amount!B:B,0))</f>
        <v/>
      </c>
      <c r="D19">
        <f>ROUND(C19/52/B19,2)</f>
        <v/>
      </c>
      <c r="E19" t="n">
        <v>35.13</v>
      </c>
    </row>
    <row r="20">
      <c r="A20" s="14" t="n">
        <v>524508</v>
      </c>
      <c r="B20">
        <f>VLOOKUP(A20,Hrs!$A:$B,2,FALSE)</f>
        <v/>
      </c>
      <c r="C20">
        <f>INDEX(amount!A:A,MATCH(A20,amount!B:B,0))</f>
        <v/>
      </c>
      <c r="D20">
        <f>ROUND(C20/52/B20,2)</f>
        <v/>
      </c>
      <c r="E20" t="n">
        <v>24.81</v>
      </c>
    </row>
    <row r="21">
      <c r="A21" s="13" t="n">
        <v>524892</v>
      </c>
      <c r="B21">
        <f>VLOOKUP(A21,Hrs!$A:$B,2,FALSE)</f>
        <v/>
      </c>
      <c r="C21">
        <f>INDEX(amount!A:A,MATCH(A21,amount!B:B,0))</f>
        <v/>
      </c>
      <c r="D21">
        <f>ROUND(C21/52/B21,2)</f>
        <v/>
      </c>
      <c r="E21" t="n">
        <v>26.88</v>
      </c>
    </row>
    <row r="22">
      <c r="A22" s="13" t="n">
        <v>525404</v>
      </c>
      <c r="B22">
        <f>VLOOKUP(A22,Hrs!$A:$B,2,FALSE)</f>
        <v/>
      </c>
      <c r="C22">
        <f>INDEX(amount!A:A,MATCH(A22,amount!B:B,0))</f>
        <v/>
      </c>
      <c r="D22">
        <f>ROUND(C22/52/B22,2)</f>
        <v/>
      </c>
      <c r="E22" t="n">
        <v>22.335</v>
      </c>
    </row>
    <row r="23">
      <c r="A23" s="13" t="n">
        <v>525996</v>
      </c>
      <c r="B23">
        <f>VLOOKUP(A23,Hrs!$A:$B,2,FALSE)</f>
        <v/>
      </c>
      <c r="C23">
        <f>INDEX(amount!A:A,MATCH(A23,amount!B:B,0))</f>
        <v/>
      </c>
      <c r="D23">
        <f>ROUND(C23/52/B23,2)</f>
        <v/>
      </c>
      <c r="E23" t="n">
        <v>47.94</v>
      </c>
    </row>
    <row r="24">
      <c r="A24" s="14" t="n">
        <v>525991</v>
      </c>
      <c r="B24">
        <f>VLOOKUP(A24,Hrs!$A:$B,2,FALSE)</f>
        <v/>
      </c>
      <c r="C24">
        <f>INDEX(amount!A:A,MATCH(A24,amount!B:B,0))</f>
        <v/>
      </c>
      <c r="D24">
        <f>ROUND(C24/52/B24,2)</f>
        <v/>
      </c>
      <c r="E24" t="n">
        <v>41.265</v>
      </c>
    </row>
    <row r="25">
      <c r="A25" s="13" t="n">
        <v>525424</v>
      </c>
      <c r="B25">
        <f>VLOOKUP(A25,Hrs!$A:$B,2,FALSE)</f>
        <v/>
      </c>
      <c r="C25">
        <f>INDEX(amount!A:A,MATCH(A25,amount!B:B,0))</f>
        <v/>
      </c>
      <c r="D25">
        <f>ROUND(C25/52/B25,2)</f>
        <v/>
      </c>
      <c r="E25" t="n">
        <v>46.605</v>
      </c>
    </row>
    <row r="26">
      <c r="A26" s="13" t="n">
        <v>525843</v>
      </c>
      <c r="B26">
        <f>VLOOKUP(A26,Hrs!$A:$B,2,FALSE)</f>
        <v/>
      </c>
      <c r="C26">
        <f>INDEX(amount!A:A,MATCH(A26,amount!B:B,0))</f>
        <v/>
      </c>
      <c r="D26">
        <f>ROUND(C26/52/B26,2)</f>
        <v/>
      </c>
      <c r="E26" t="n">
        <v>29.76</v>
      </c>
    </row>
    <row r="27">
      <c r="A27" s="13" t="n">
        <v>524980</v>
      </c>
      <c r="B27">
        <f>VLOOKUP(A27,Hrs!$A:$B,2,FALSE)</f>
        <v/>
      </c>
      <c r="C27">
        <f>INDEX(amount!A:A,MATCH(A27,amount!B:B,0))</f>
        <v/>
      </c>
      <c r="D27">
        <f>ROUND(C27/52/B27,2)</f>
        <v/>
      </c>
      <c r="E27" t="n">
        <v>32.295</v>
      </c>
    </row>
    <row r="28">
      <c r="A28" s="13" t="n">
        <v>525361</v>
      </c>
      <c r="B28">
        <f>VLOOKUP(A28,Hrs!$A:$B,2,FALSE)</f>
        <v/>
      </c>
      <c r="C28">
        <f>INDEX(amount!A:A,MATCH(A28,amount!B:B,0))</f>
        <v/>
      </c>
      <c r="D28">
        <f>ROUND(C28/52/B28,2)</f>
        <v/>
      </c>
      <c r="E28" t="n">
        <v>119.26</v>
      </c>
    </row>
    <row r="29">
      <c r="A29" s="13" t="n">
        <v>525965</v>
      </c>
      <c r="B29">
        <f>VLOOKUP(A29,Hrs!$A:$B,2,FALSE)</f>
        <v/>
      </c>
      <c r="C29">
        <f>INDEX(amount!A:A,MATCH(A29,amount!B:B,0))</f>
        <v/>
      </c>
      <c r="D29">
        <f>ROUND(C29/52/B29,2)</f>
        <v/>
      </c>
      <c r="E29" t="n">
        <v>4.11</v>
      </c>
    </row>
    <row r="30">
      <c r="A30" s="13" t="n">
        <v>522576</v>
      </c>
      <c r="B30">
        <f>VLOOKUP(A30,Hrs!$A:$B,2,FALSE)</f>
        <v/>
      </c>
      <c r="C30">
        <f>INDEX(amount!A:A,MATCH(A30,amount!B:B,0))</f>
        <v/>
      </c>
      <c r="D30">
        <f>ROUND(C30/52/B30,2)</f>
        <v/>
      </c>
      <c r="E30" t="n">
        <v>61.47</v>
      </c>
    </row>
    <row r="31">
      <c r="A31" s="13" t="n">
        <v>525131</v>
      </c>
      <c r="B31">
        <f>VLOOKUP(A31,Hrs!$A:$B,2,FALSE)</f>
        <v/>
      </c>
      <c r="C31">
        <f>INDEX(amount!A:A,MATCH(A31,amount!B:B,0))</f>
        <v/>
      </c>
      <c r="D31">
        <f>ROUND(C31/52/B31,2)</f>
        <v/>
      </c>
      <c r="E31" t="n">
        <v>17.295</v>
      </c>
    </row>
    <row r="32">
      <c r="A32" s="13" t="n">
        <v>522742</v>
      </c>
      <c r="B32">
        <f>VLOOKUP(A32,Hrs!$A:$B,2,FALSE)</f>
        <v/>
      </c>
      <c r="C32">
        <f>INDEX(amount!A:A,MATCH(A32,amount!B:B,0))</f>
        <v/>
      </c>
      <c r="D32">
        <f>ROUND(C32/52/B32,2)</f>
        <v/>
      </c>
      <c r="E32" t="n">
        <v>68.625</v>
      </c>
    </row>
    <row r="33">
      <c r="A33" s="13" t="n">
        <v>526162</v>
      </c>
      <c r="B33">
        <f>VLOOKUP(A33,Hrs!$A:$B,2,FALSE)</f>
        <v/>
      </c>
      <c r="C33">
        <f>INDEX(amount!A:A,MATCH(A33,amount!B:B,0))</f>
        <v/>
      </c>
      <c r="D33">
        <f>ROUND(C33/52/B33,2)</f>
        <v/>
      </c>
      <c r="E33" t="n">
        <v>33.57</v>
      </c>
    </row>
    <row r="34">
      <c r="A34" s="13" t="n">
        <v>526013</v>
      </c>
      <c r="B34">
        <f>VLOOKUP(A34,Hrs!$A:$B,2,FALSE)</f>
        <v/>
      </c>
      <c r="C34">
        <f>INDEX(amount!A:A,MATCH(A34,amount!B:B,0))</f>
        <v/>
      </c>
      <c r="D34">
        <f>ROUND(C34/52/B34,2)</f>
        <v/>
      </c>
      <c r="E34" t="n">
        <v>20.97</v>
      </c>
    </row>
    <row r="35">
      <c r="A35" s="13" t="n">
        <v>525570</v>
      </c>
      <c r="B35">
        <f>VLOOKUP(A35,Hrs!$A:$B,2,FALSE)</f>
        <v/>
      </c>
      <c r="C35">
        <f>INDEX(amount!A:A,MATCH(A35,amount!B:B,0))</f>
        <v/>
      </c>
      <c r="D35">
        <f>ROUND(C35/52/B35,2)</f>
        <v/>
      </c>
      <c r="E35" t="n">
        <v>31.89</v>
      </c>
    </row>
    <row r="36">
      <c r="A36" s="14" t="n">
        <v>526083</v>
      </c>
      <c r="B36">
        <f>VLOOKUP(A36,Hrs!$A:$B,2,FALSE)</f>
        <v/>
      </c>
      <c r="C36">
        <f>INDEX(amount!A:A,MATCH(A36,amount!B:B,0))</f>
        <v/>
      </c>
      <c r="D36">
        <f>ROUND(C36/52/B36,2)</f>
        <v/>
      </c>
      <c r="E36" t="n">
        <v>9.51</v>
      </c>
    </row>
    <row r="37">
      <c r="A37" s="14" t="n">
        <v>522746</v>
      </c>
      <c r="B37">
        <f>VLOOKUP(A37,Hrs!$A:$B,2,FALSE)</f>
        <v/>
      </c>
      <c r="C37">
        <f>INDEX(amount!A:A,MATCH(A37,amount!B:B,0))</f>
        <v/>
      </c>
      <c r="D37">
        <f>ROUND(C37/52/B37,2)</f>
        <v/>
      </c>
      <c r="E37" t="n">
        <v>66.78</v>
      </c>
    </row>
    <row r="38">
      <c r="A38" s="14" t="n">
        <v>526007</v>
      </c>
      <c r="B38">
        <f>VLOOKUP(A38,Hrs!$A:$B,2,FALSE)</f>
        <v/>
      </c>
      <c r="C38">
        <f>INDEX(amount!A:A,MATCH(A38,amount!B:B,0))</f>
        <v/>
      </c>
      <c r="D38">
        <f>ROUND(C38/52/B38,2)</f>
        <v/>
      </c>
      <c r="E38" t="n">
        <v>53.745</v>
      </c>
    </row>
    <row r="39">
      <c r="A39" s="14" t="n">
        <v>522749</v>
      </c>
      <c r="B39">
        <f>VLOOKUP(A39,Hrs!$A:$B,2,FALSE)</f>
        <v/>
      </c>
      <c r="C39">
        <f>INDEX(amount!A:A,MATCH(A39,amount!B:B,0))</f>
        <v/>
      </c>
      <c r="D39">
        <f>ROUND(C39/52/B39,2)</f>
        <v/>
      </c>
      <c r="E39" t="n">
        <v>23.61</v>
      </c>
    </row>
    <row r="40">
      <c r="A40" s="13" t="n">
        <v>525983</v>
      </c>
      <c r="B40">
        <f>VLOOKUP(A40,Hrs!$A:$B,2,FALSE)</f>
        <v/>
      </c>
      <c r="C40">
        <f>INDEX(amount!A:A,MATCH(A40,amount!B:B,0))</f>
        <v/>
      </c>
      <c r="D40">
        <f>ROUND(C40/52/B40,2)</f>
        <v/>
      </c>
      <c r="E40" t="n">
        <v>33.09</v>
      </c>
    </row>
    <row r="41">
      <c r="A41" s="14" t="n">
        <v>524806</v>
      </c>
      <c r="B41">
        <f>VLOOKUP(A41,Hrs!$A:$B,2,FALSE)</f>
        <v/>
      </c>
      <c r="C41">
        <f>INDEX(amount!A:A,MATCH(A41,amount!B:B,0))</f>
        <v/>
      </c>
      <c r="D41">
        <f>ROUND(C41/52/B41,2)</f>
        <v/>
      </c>
      <c r="E41" t="n">
        <v>33.795</v>
      </c>
    </row>
    <row r="42">
      <c r="A42" s="13" t="n">
        <v>523228</v>
      </c>
      <c r="B42">
        <f>VLOOKUP(A42,Hrs!$A:$B,2,FALSE)</f>
        <v/>
      </c>
      <c r="C42">
        <f>INDEX(amount!A:A,MATCH(A42,amount!B:B,0))</f>
        <v/>
      </c>
      <c r="D42">
        <f>ROUND(C42/52/B42,2)</f>
        <v/>
      </c>
      <c r="E42" t="n">
        <v>29.43</v>
      </c>
    </row>
    <row r="43">
      <c r="A43" s="13" t="n">
        <v>525580</v>
      </c>
      <c r="B43">
        <f>VLOOKUP(A43,Hrs!$A:$B,2,FALSE)</f>
        <v/>
      </c>
      <c r="C43">
        <f>INDEX(amount!A:A,MATCH(A43,amount!B:B,0))</f>
        <v/>
      </c>
      <c r="D43">
        <f>ROUND(C43/52/B43,2)</f>
        <v/>
      </c>
      <c r="E43" t="n">
        <v>48.705</v>
      </c>
    </row>
    <row r="44">
      <c r="A44" s="13" t="n">
        <v>522752</v>
      </c>
      <c r="B44">
        <f>VLOOKUP(A44,Hrs!$A:$B,2,FALSE)</f>
        <v/>
      </c>
      <c r="C44">
        <f>INDEX(amount!A:A,MATCH(A44,amount!B:B,0))</f>
        <v/>
      </c>
      <c r="D44">
        <f>ROUND(C44/52/B44,2)</f>
        <v/>
      </c>
      <c r="E44" t="n">
        <v>63.06</v>
      </c>
    </row>
    <row r="45">
      <c r="A45" s="13" t="n">
        <v>525572</v>
      </c>
      <c r="B45">
        <f>VLOOKUP(A45,Hrs!$A:$B,2,FALSE)</f>
        <v/>
      </c>
      <c r="C45">
        <f>INDEX(amount!A:A,MATCH(A45,amount!B:B,0))</f>
        <v/>
      </c>
      <c r="D45">
        <f>ROUND(C45/52/B45,2)</f>
        <v/>
      </c>
      <c r="E45" t="n">
        <v>67.23</v>
      </c>
    </row>
    <row r="46">
      <c r="A46" s="13" t="n">
        <v>520515</v>
      </c>
      <c r="B46">
        <f>VLOOKUP(A46,Hrs!$A:$B,2,FALSE)</f>
        <v/>
      </c>
      <c r="C46">
        <f>INDEX(amount!A:A,MATCH(A46,amount!B:B,0))</f>
        <v/>
      </c>
      <c r="D46">
        <f>ROUND(C46/52/B46,2)</f>
        <v/>
      </c>
      <c r="E46" t="n">
        <v>32.40000000000001</v>
      </c>
    </row>
    <row r="47">
      <c r="A47" s="13" t="n">
        <v>521685</v>
      </c>
      <c r="B47">
        <f>VLOOKUP(A47,Hrs!$A:$B,2,FALSE)</f>
        <v/>
      </c>
      <c r="C47">
        <f>INDEX(amount!A:A,MATCH(A47,amount!B:B,0))</f>
        <v/>
      </c>
      <c r="D47">
        <f>ROUND(C47/52/B47,2)</f>
        <v/>
      </c>
      <c r="E47" t="n">
        <v>20.46</v>
      </c>
    </row>
    <row r="48">
      <c r="A48" s="13" t="n">
        <v>524510</v>
      </c>
      <c r="B48">
        <f>VLOOKUP(A48,Hrs!$A:$B,2,FALSE)</f>
        <v/>
      </c>
      <c r="C48">
        <f>INDEX(amount!A:A,MATCH(A48,amount!B:B,0))</f>
        <v/>
      </c>
      <c r="D48">
        <f>ROUND(C48/52/B48,2)</f>
        <v/>
      </c>
      <c r="E48" t="n">
        <v>123.12</v>
      </c>
    </row>
    <row r="49">
      <c r="A49" s="14" t="n">
        <v>525540</v>
      </c>
      <c r="B49">
        <f>VLOOKUP(A49,Hrs!$A:$B,2,FALSE)</f>
        <v/>
      </c>
      <c r="C49">
        <f>INDEX(amount!A:A,MATCH(A49,amount!B:B,0))</f>
        <v/>
      </c>
      <c r="D49">
        <f>ROUND(C49/52/B49,2)</f>
        <v/>
      </c>
      <c r="E49" t="n">
        <v>1.59</v>
      </c>
    </row>
    <row r="50">
      <c r="A50" s="13" t="n">
        <v>525359</v>
      </c>
      <c r="B50">
        <f>VLOOKUP(A50,Hrs!$A:$B,2,FALSE)</f>
        <v/>
      </c>
      <c r="C50">
        <f>INDEX(amount!A:A,MATCH(A50,amount!B:B,0))</f>
        <v/>
      </c>
      <c r="D50">
        <f>ROUND(C50/52/B50,2)</f>
        <v/>
      </c>
      <c r="E50" t="n">
        <v>45.495</v>
      </c>
    </row>
    <row r="51">
      <c r="A51" s="13" t="n">
        <v>525828</v>
      </c>
      <c r="B51">
        <f>VLOOKUP(A51,Hrs!$A:$B,2,FALSE)</f>
        <v/>
      </c>
      <c r="C51">
        <f>INDEX(amount!A:A,MATCH(A51,amount!B:B,0))</f>
        <v/>
      </c>
      <c r="D51">
        <f>ROUND(C51/52/B51,2)</f>
        <v/>
      </c>
      <c r="E51" t="n">
        <v>6.465</v>
      </c>
    </row>
    <row r="52">
      <c r="A52" s="13" t="n">
        <v>525017</v>
      </c>
      <c r="B52">
        <f>VLOOKUP(A52,Hrs!$A:$B,2,FALSE)</f>
        <v/>
      </c>
      <c r="C52">
        <f>INDEX(amount!A:A,MATCH(A52,amount!B:B,0))</f>
        <v/>
      </c>
      <c r="D52">
        <f>ROUND(C52/52/B52,2)</f>
        <v/>
      </c>
      <c r="E52" t="n">
        <v>36.315</v>
      </c>
    </row>
    <row r="53">
      <c r="A53" s="13" t="n">
        <v>524511</v>
      </c>
      <c r="B53">
        <f>VLOOKUP(A53,Hrs!$A:$B,2,FALSE)</f>
        <v/>
      </c>
      <c r="C53">
        <f>INDEX(amount!A:A,MATCH(A53,amount!B:B,0))</f>
        <v/>
      </c>
      <c r="D53">
        <f>ROUND(C53/52/B53,2)</f>
        <v/>
      </c>
      <c r="E53" t="n">
        <v>13.77</v>
      </c>
    </row>
    <row r="54">
      <c r="A54" s="13" t="n">
        <v>526203</v>
      </c>
      <c r="B54">
        <f>VLOOKUP(A54,Hrs!$A:$B,2,FALSE)</f>
        <v/>
      </c>
      <c r="C54">
        <f>INDEX(amount!A:A,MATCH(A54,amount!B:B,0))</f>
        <v/>
      </c>
      <c r="D54">
        <f>ROUND(C54/52/B54,2)</f>
        <v/>
      </c>
      <c r="E54" t="e">
        <v>#N/A</v>
      </c>
    </row>
    <row r="55">
      <c r="A55" s="14" t="n">
        <v>525613</v>
      </c>
      <c r="B55">
        <f>VLOOKUP(A55,Hrs!$A:$B,2,FALSE)</f>
        <v/>
      </c>
      <c r="C55">
        <f>INDEX(amount!A:A,MATCH(A55,amount!B:B,0))</f>
        <v/>
      </c>
      <c r="D55">
        <f>ROUND(C55/52/B55,2)</f>
        <v/>
      </c>
      <c r="E55" t="n">
        <v>9.645</v>
      </c>
    </row>
    <row r="56">
      <c r="A56" s="14" t="n">
        <v>525971</v>
      </c>
      <c r="B56">
        <f>VLOOKUP(A56,Hrs!$A:$B,2,FALSE)</f>
        <v/>
      </c>
      <c r="C56">
        <f>INDEX(amount!A:A,MATCH(A56,amount!B:B,0))</f>
        <v/>
      </c>
      <c r="D56">
        <f>ROUND(C56/52/B56,2)</f>
        <v/>
      </c>
      <c r="E56" t="n">
        <v>35.28</v>
      </c>
    </row>
    <row r="57">
      <c r="A57" s="10" t="n">
        <v>136550</v>
      </c>
      <c r="B57">
        <f>VLOOKUP(A57,Hrs!$A:$B,2,FALSE)</f>
        <v/>
      </c>
      <c r="C57">
        <f>INDEX(amount!A:A,MATCH(A57,amount!B:B,0))</f>
        <v/>
      </c>
      <c r="D57">
        <f>ROUND(C57/52/B57,2)</f>
        <v/>
      </c>
      <c r="E57" t="n">
        <v>45.675</v>
      </c>
    </row>
    <row r="58">
      <c r="A58" s="14" t="n">
        <v>525633</v>
      </c>
      <c r="B58">
        <f>VLOOKUP(A58,Hrs!$A:$B,2,FALSE)</f>
        <v/>
      </c>
      <c r="C58">
        <f>INDEX(amount!A:A,MATCH(A58,amount!B:B,0))</f>
        <v/>
      </c>
      <c r="D58">
        <f>ROUND(C58/52/B58,2)</f>
        <v/>
      </c>
      <c r="E58" t="n">
        <v>48.825</v>
      </c>
    </row>
    <row r="59">
      <c r="A59" s="14" t="n">
        <v>525693</v>
      </c>
      <c r="B59">
        <f>VLOOKUP(A59,Hrs!$A:$B,2,FALSE)</f>
        <v/>
      </c>
      <c r="C59">
        <f>INDEX(amount!A:A,MATCH(A59,amount!B:B,0))</f>
        <v/>
      </c>
      <c r="D59">
        <f>ROUND(C59/52/B59,2)</f>
        <v/>
      </c>
      <c r="E59" t="n">
        <v>17.025</v>
      </c>
    </row>
    <row r="60">
      <c r="A60" s="14" t="n">
        <v>522361</v>
      </c>
      <c r="B60">
        <f>VLOOKUP(A60,Hrs!$A:$B,2,FALSE)</f>
        <v/>
      </c>
      <c r="C60">
        <f>INDEX(amount!A:A,MATCH(A60,amount!B:B,0))</f>
        <v/>
      </c>
      <c r="D60">
        <f>ROUND(C60/52/B60,2)</f>
        <v/>
      </c>
      <c r="E60" t="n">
        <v>72.90000000000001</v>
      </c>
    </row>
    <row r="61">
      <c r="A61" s="14" t="n">
        <v>522780</v>
      </c>
      <c r="B61">
        <f>VLOOKUP(A61,Hrs!$A:$B,2,FALSE)</f>
        <v/>
      </c>
      <c r="C61">
        <f>INDEX(amount!A:A,MATCH(A61,amount!B:B,0))</f>
        <v/>
      </c>
      <c r="D61">
        <f>ROUND(C61/52/B61,2)</f>
        <v/>
      </c>
      <c r="E61" t="n">
        <v>41.595</v>
      </c>
    </row>
    <row r="62">
      <c r="A62" s="14" t="n">
        <v>524988</v>
      </c>
      <c r="B62">
        <f>VLOOKUP(A62,Hrs!$A:$B,2,FALSE)</f>
        <v/>
      </c>
      <c r="C62">
        <f>INDEX(amount!A:A,MATCH(A62,amount!B:B,0))</f>
        <v/>
      </c>
      <c r="D62">
        <f>ROUND(C62/52/B62,2)</f>
        <v/>
      </c>
      <c r="E62" t="n">
        <v>37.11</v>
      </c>
    </row>
    <row r="63">
      <c r="A63" s="12" t="n">
        <v>525953</v>
      </c>
      <c r="B63">
        <f>VLOOKUP(A63,Hrs!$A:$B,2,FALSE)</f>
        <v/>
      </c>
      <c r="C63">
        <f>INDEX(amount!A:A,MATCH(A63,amount!B:B,0))</f>
        <v/>
      </c>
      <c r="D63">
        <f>ROUND(C63/52/B63,2)</f>
        <v/>
      </c>
      <c r="E63" t="n">
        <v>11.625</v>
      </c>
    </row>
    <row r="64">
      <c r="A64" s="13" t="n">
        <v>524695</v>
      </c>
      <c r="B64">
        <f>VLOOKUP(A64,Hrs!$A:$B,2,FALSE)</f>
        <v/>
      </c>
      <c r="C64">
        <f>INDEX(amount!A:A,MATCH(A64,amount!B:B,0))</f>
        <v/>
      </c>
      <c r="D64">
        <f>ROUND(C64/52/B64,2)</f>
        <v/>
      </c>
      <c r="E64" t="n">
        <v>5.34</v>
      </c>
    </row>
    <row r="65">
      <c r="A65" s="13" t="n">
        <v>523348</v>
      </c>
      <c r="B65">
        <f>VLOOKUP(A65,Hrs!$A:$B,2,FALSE)</f>
        <v/>
      </c>
      <c r="C65">
        <f>INDEX(amount!A:A,MATCH(A65,amount!B:B,0))</f>
        <v/>
      </c>
      <c r="D65">
        <f>ROUND(C65/52/B65,2)</f>
        <v/>
      </c>
      <c r="E65" t="n">
        <v>27.255</v>
      </c>
    </row>
    <row r="66">
      <c r="A66" s="13" t="n">
        <v>524428</v>
      </c>
      <c r="B66">
        <f>VLOOKUP(A66,Hrs!$A:$B,2,FALSE)</f>
        <v/>
      </c>
      <c r="C66">
        <f>INDEX(amount!A:A,MATCH(A66,amount!B:B,0))</f>
        <v/>
      </c>
      <c r="D66">
        <f>ROUND(C66/52/B66,2)</f>
        <v/>
      </c>
      <c r="E66" t="n">
        <v>45.78</v>
      </c>
    </row>
    <row r="67">
      <c r="A67" s="14" t="n">
        <v>523017</v>
      </c>
      <c r="B67">
        <f>VLOOKUP(A67,Hrs!$A:$B,2,FALSE)</f>
        <v/>
      </c>
      <c r="C67">
        <f>INDEX(amount!A:A,MATCH(A67,amount!B:B,0))</f>
        <v/>
      </c>
      <c r="D67">
        <f>ROUND(C67/52/B67,2)</f>
        <v/>
      </c>
      <c r="E67" t="n">
        <v>47.49</v>
      </c>
    </row>
    <row r="68">
      <c r="A68" s="13" t="n">
        <v>525186</v>
      </c>
      <c r="B68">
        <f>VLOOKUP(A68,Hrs!$A:$B,2,FALSE)</f>
        <v/>
      </c>
      <c r="C68">
        <f>INDEX(amount!A:A,MATCH(A68,amount!B:B,0))</f>
        <v/>
      </c>
      <c r="D68">
        <f>ROUND(C68/52/B68,2)</f>
        <v/>
      </c>
      <c r="E68" t="n">
        <v>47.97</v>
      </c>
    </row>
    <row r="69">
      <c r="A69" s="13" t="n">
        <v>525483</v>
      </c>
      <c r="B69">
        <f>VLOOKUP(A69,Hrs!$A:$B,2,FALSE)</f>
        <v/>
      </c>
      <c r="C69">
        <f>INDEX(amount!A:A,MATCH(A69,amount!B:B,0))</f>
        <v/>
      </c>
      <c r="D69">
        <f>ROUND(C69/52/B69,2)</f>
        <v/>
      </c>
      <c r="E69" t="n">
        <v>53.31</v>
      </c>
    </row>
    <row r="70">
      <c r="A70" s="14" t="n">
        <v>525179</v>
      </c>
      <c r="B70">
        <f>VLOOKUP(A70,Hrs!$A:$B,2,FALSE)</f>
        <v/>
      </c>
      <c r="C70">
        <f>INDEX(amount!A:A,MATCH(A70,amount!B:B,0))</f>
        <v/>
      </c>
      <c r="D70">
        <f>ROUND(C70/52/B70,2)</f>
        <v/>
      </c>
      <c r="E70" t="n">
        <v>15.435</v>
      </c>
    </row>
    <row r="71">
      <c r="A71" s="14" t="n">
        <v>525881</v>
      </c>
      <c r="B71">
        <f>VLOOKUP(A71,Hrs!$A:$B,2,FALSE)</f>
        <v/>
      </c>
      <c r="C71">
        <f>INDEX(amount!A:A,MATCH(A71,amount!B:B,0))</f>
        <v/>
      </c>
      <c r="D71">
        <f>ROUND(C71/52/B71,2)</f>
        <v/>
      </c>
      <c r="E71" t="n">
        <v>19.395</v>
      </c>
    </row>
    <row r="72">
      <c r="A72" s="14" t="n">
        <v>521454</v>
      </c>
      <c r="B72">
        <f>VLOOKUP(A72,Hrs!$A:$B,2,FALSE)</f>
        <v/>
      </c>
      <c r="C72">
        <f>INDEX(amount!A:A,MATCH(A72,amount!B:B,0))</f>
        <v/>
      </c>
      <c r="D72">
        <f>ROUND(C72/52/B72,2)</f>
        <v/>
      </c>
      <c r="E72" t="n">
        <v>29.55</v>
      </c>
    </row>
    <row r="73">
      <c r="A73" s="14" t="n">
        <v>524941</v>
      </c>
      <c r="B73">
        <f>VLOOKUP(A73,Hrs!$A:$B,2,FALSE)</f>
        <v/>
      </c>
      <c r="C73">
        <f>INDEX(amount!A:A,MATCH(A73,amount!B:B,0))</f>
        <v/>
      </c>
      <c r="D73">
        <f>ROUND(C73/52/B73,2)</f>
        <v/>
      </c>
      <c r="E73" t="n">
        <v>40.32</v>
      </c>
    </row>
    <row r="74">
      <c r="A74" s="13" t="n">
        <v>521066</v>
      </c>
      <c r="B74">
        <f>VLOOKUP(A74,Hrs!$A:$B,2,FALSE)</f>
        <v/>
      </c>
      <c r="C74">
        <f>INDEX(amount!A:A,MATCH(A74,amount!B:B,0))</f>
        <v/>
      </c>
      <c r="D74">
        <f>ROUND(C74/52/B74,2)</f>
        <v/>
      </c>
      <c r="E74" t="n">
        <v>35.535</v>
      </c>
    </row>
    <row r="75">
      <c r="A75" s="14" t="n">
        <v>524523</v>
      </c>
      <c r="B75">
        <f>VLOOKUP(A75,Hrs!$A:$B,2,FALSE)</f>
        <v/>
      </c>
      <c r="C75">
        <f>INDEX(amount!A:A,MATCH(A75,amount!B:B,0))</f>
        <v/>
      </c>
      <c r="D75">
        <f>ROUND(C75/52/B75,2)</f>
        <v/>
      </c>
      <c r="E75" t="n">
        <v>51.825</v>
      </c>
    </row>
    <row r="76">
      <c r="A76" s="13" t="n">
        <v>524827</v>
      </c>
      <c r="B76">
        <f>VLOOKUP(A76,Hrs!$A:$B,2,FALSE)</f>
        <v/>
      </c>
      <c r="C76">
        <f>INDEX(amount!A:A,MATCH(A76,amount!B:B,0))</f>
        <v/>
      </c>
      <c r="D76">
        <f>ROUND(C76/52/B76,2)</f>
        <v/>
      </c>
      <c r="E76" t="n">
        <v>55.335</v>
      </c>
    </row>
    <row r="77">
      <c r="A77" s="14" t="n">
        <v>525378</v>
      </c>
      <c r="B77">
        <f>VLOOKUP(A77,Hrs!$A:$B,2,FALSE)</f>
        <v/>
      </c>
      <c r="C77">
        <f>INDEX(amount!A:A,MATCH(A77,amount!B:B,0))</f>
        <v/>
      </c>
      <c r="D77">
        <f>ROUND(C77/52/B77,2)</f>
        <v/>
      </c>
      <c r="E77" t="n">
        <v>5.94</v>
      </c>
    </row>
    <row r="78">
      <c r="A78" s="14" t="n">
        <v>521612</v>
      </c>
      <c r="B78">
        <f>VLOOKUP(A78,Hrs!$A:$B,2,FALSE)</f>
        <v/>
      </c>
      <c r="C78">
        <f>INDEX(amount!A:A,MATCH(A78,amount!B:B,0))</f>
        <v/>
      </c>
      <c r="D78">
        <f>ROUND(C78/52/B78,2)</f>
        <v/>
      </c>
      <c r="E78" t="n">
        <v>55.62</v>
      </c>
    </row>
    <row r="79">
      <c r="A79" s="13" t="n">
        <v>523073</v>
      </c>
      <c r="B79">
        <f>VLOOKUP(A79,Hrs!$A:$B,2,FALSE)</f>
        <v/>
      </c>
      <c r="C79">
        <f>INDEX(amount!A:A,MATCH(A79,amount!B:B,0))</f>
        <v/>
      </c>
      <c r="D79">
        <f>ROUND(C79/52/B79,2)</f>
        <v/>
      </c>
      <c r="E79" t="n">
        <v>65.38500000000001</v>
      </c>
    </row>
    <row r="80">
      <c r="A80" s="14" t="n">
        <v>202255</v>
      </c>
      <c r="B80">
        <f>VLOOKUP(A80,Hrs!$A:$B,2,FALSE)</f>
        <v/>
      </c>
      <c r="C80">
        <f>INDEX(amount!A:A,MATCH(A80,amount!B:B,0))</f>
        <v/>
      </c>
      <c r="D80">
        <f>ROUND(C80/52/B80,2)</f>
        <v/>
      </c>
      <c r="E80" t="n">
        <v>43.455</v>
      </c>
    </row>
    <row r="81">
      <c r="A81" s="14" t="n">
        <v>524945</v>
      </c>
      <c r="B81">
        <f>VLOOKUP(A81,Hrs!$A:$B,2,FALSE)</f>
        <v/>
      </c>
      <c r="C81">
        <f>INDEX(amount!A:A,MATCH(A81,amount!B:B,0))</f>
        <v/>
      </c>
      <c r="D81">
        <f>ROUND(C81/52/B81,2)</f>
        <v/>
      </c>
      <c r="E81" t="n">
        <v>61.86</v>
      </c>
    </row>
    <row r="82">
      <c r="A82" s="12" t="n">
        <v>526152</v>
      </c>
      <c r="B82">
        <f>VLOOKUP(A82,Hrs!$A:$B,2,FALSE)</f>
        <v/>
      </c>
      <c r="C82">
        <f>INDEX(amount!A:A,MATCH(A82,amount!B:B,0))</f>
        <v/>
      </c>
      <c r="D82">
        <f>ROUND(C82/52/B82,2)</f>
        <v/>
      </c>
      <c r="E82" t="n">
        <v>5.76</v>
      </c>
    </row>
    <row r="83">
      <c r="A83" s="14" t="n">
        <v>525844</v>
      </c>
      <c r="B83">
        <f>VLOOKUP(A83,Hrs!$A:$B,2,FALSE)</f>
        <v/>
      </c>
      <c r="C83">
        <f>INDEX(amount!A:A,MATCH(A83,amount!B:B,0))</f>
        <v/>
      </c>
      <c r="D83">
        <f>ROUND(C83/52/B83,2)</f>
        <v/>
      </c>
      <c r="E83" t="n">
        <v>22.065</v>
      </c>
    </row>
    <row r="84">
      <c r="A84" s="14" t="n">
        <v>522569</v>
      </c>
      <c r="B84">
        <f>VLOOKUP(A84,Hrs!$A:$B,2,FALSE)</f>
        <v/>
      </c>
      <c r="C84">
        <f>INDEX(amount!A:A,MATCH(A84,amount!B:B,0))</f>
        <v/>
      </c>
      <c r="D84">
        <f>ROUND(C84/52/B84,2)</f>
        <v/>
      </c>
      <c r="E84" t="n">
        <v>63.87</v>
      </c>
    </row>
    <row r="85">
      <c r="A85" s="15" t="n">
        <v>521567</v>
      </c>
      <c r="B85">
        <f>VLOOKUP(A85,Hrs!$A:$B,2,FALSE)</f>
        <v/>
      </c>
      <c r="C85">
        <f>INDEX(amount!A:A,MATCH(A85,amount!B:B,0))</f>
        <v/>
      </c>
      <c r="D85">
        <f>ROUND(C85/52/B85,2)</f>
        <v/>
      </c>
      <c r="E85" t="n">
        <v>47.09999999999999</v>
      </c>
    </row>
    <row r="86">
      <c r="A86" s="15" t="n">
        <v>520772</v>
      </c>
      <c r="B86">
        <f>VLOOKUP(A86,Hrs!$A:$B,2,FALSE)</f>
        <v/>
      </c>
      <c r="C86">
        <f>INDEX(amount!A:A,MATCH(A86,amount!B:B,0))</f>
        <v/>
      </c>
      <c r="D86">
        <f>ROUND(C86/52/B86,2)</f>
        <v/>
      </c>
      <c r="E86" t="n">
        <v>32.61</v>
      </c>
    </row>
    <row r="87">
      <c r="A87" s="15" t="n">
        <v>524616</v>
      </c>
      <c r="B87">
        <f>VLOOKUP(A87,Hrs!$A:$B,2,FALSE)</f>
        <v/>
      </c>
      <c r="C87">
        <f>INDEX(amount!A:A,MATCH(A87,amount!B:B,0))</f>
        <v/>
      </c>
      <c r="D87">
        <f>ROUND(C87/52/B87,2)</f>
        <v/>
      </c>
      <c r="E87" t="n">
        <v>4.86</v>
      </c>
    </row>
    <row r="88">
      <c r="A88" s="14" t="n">
        <v>525364</v>
      </c>
      <c r="B88">
        <f>VLOOKUP(A88,Hrs!$A:$B,2,FALSE)</f>
        <v/>
      </c>
      <c r="C88">
        <f>INDEX(amount!A:A,MATCH(A88,amount!B:B,0))</f>
        <v/>
      </c>
      <c r="D88">
        <f>ROUND(C88/52/B88,2)</f>
        <v/>
      </c>
      <c r="E88" t="n">
        <v>57.465</v>
      </c>
    </row>
    <row r="89">
      <c r="A89" s="15" t="n">
        <v>521710</v>
      </c>
      <c r="B89">
        <f>VLOOKUP(A89,Hrs!$A:$B,2,FALSE)</f>
        <v/>
      </c>
      <c r="C89">
        <f>INDEX(amount!A:A,MATCH(A89,amount!B:B,0))</f>
        <v/>
      </c>
      <c r="D89">
        <f>ROUND(C89/52/B89,2)</f>
        <v/>
      </c>
      <c r="E89" t="n">
        <v>50.61</v>
      </c>
    </row>
    <row r="90">
      <c r="A90" s="15" t="n">
        <v>525915</v>
      </c>
      <c r="B90">
        <f>VLOOKUP(A90,Hrs!$A:$B,2,FALSE)</f>
        <v/>
      </c>
      <c r="C90">
        <f>INDEX(amount!A:A,MATCH(A90,amount!B:B,0))</f>
        <v/>
      </c>
      <c r="D90">
        <f>ROUND(C90/52/B90,2)</f>
        <v/>
      </c>
      <c r="E90" t="n">
        <v>2.46</v>
      </c>
    </row>
    <row r="91">
      <c r="A91" s="15" t="n">
        <v>525368</v>
      </c>
      <c r="B91">
        <f>VLOOKUP(A91,Hrs!$A:$B,2,FALSE)</f>
        <v/>
      </c>
      <c r="C91">
        <f>INDEX(amount!A:A,MATCH(A91,amount!B:B,0))</f>
        <v/>
      </c>
      <c r="D91">
        <f>ROUND(C91/52/B91,2)</f>
        <v/>
      </c>
      <c r="E91" t="n">
        <v>19.26</v>
      </c>
    </row>
    <row r="92">
      <c r="A92" s="15" t="n">
        <v>526134</v>
      </c>
      <c r="B92">
        <f>VLOOKUP(A92,Hrs!$A:$B,2,FALSE)</f>
        <v/>
      </c>
      <c r="C92">
        <f>INDEX(amount!A:A,MATCH(A92,amount!B:B,0))</f>
        <v/>
      </c>
      <c r="D92">
        <f>ROUND(C92/52/B92,2)</f>
        <v/>
      </c>
      <c r="E92" t="n">
        <v>16.32</v>
      </c>
    </row>
    <row r="93">
      <c r="A93" s="15" t="n">
        <v>524936</v>
      </c>
      <c r="B93">
        <f>VLOOKUP(A93,Hrs!$A:$B,2,FALSE)</f>
        <v/>
      </c>
      <c r="C93">
        <f>INDEX(amount!A:A,MATCH(A93,amount!B:B,0))</f>
        <v/>
      </c>
      <c r="D93">
        <f>ROUND(C93/52/B93,2)</f>
        <v/>
      </c>
      <c r="E93" t="n">
        <v>104.28</v>
      </c>
    </row>
    <row r="94">
      <c r="A94" s="15" t="n">
        <v>526065</v>
      </c>
      <c r="B94">
        <f>VLOOKUP(A94,Hrs!$A:$B,2,FALSE)</f>
        <v/>
      </c>
      <c r="C94">
        <f>INDEX(amount!A:A,MATCH(A94,amount!B:B,0))</f>
        <v/>
      </c>
      <c r="D94">
        <f>ROUND(C94/52/B94,2)</f>
        <v/>
      </c>
      <c r="E94" t="n">
        <v>47.355</v>
      </c>
    </row>
    <row r="95">
      <c r="A95" s="25" t="n">
        <v>522870</v>
      </c>
      <c r="B95">
        <f>VLOOKUP(A95,Hrs!$A:$B,2,FALSE)</f>
        <v/>
      </c>
      <c r="C95">
        <f>INDEX(amount!A:A,MATCH(A95,amount!B:B,0))</f>
        <v/>
      </c>
      <c r="D95">
        <f>ROUND(C95/52/B95,2)</f>
        <v/>
      </c>
      <c r="E95" t="n">
        <v>9.975000000000001</v>
      </c>
    </row>
    <row r="96">
      <c r="A96" s="15" t="n">
        <v>526073</v>
      </c>
      <c r="B96">
        <f>VLOOKUP(A96,Hrs!$A:$B,2,FALSE)</f>
        <v/>
      </c>
      <c r="C96">
        <f>INDEX(amount!A:A,MATCH(A96,amount!B:B,0))</f>
        <v/>
      </c>
      <c r="D96">
        <f>ROUND(C96/52/B96,2)</f>
        <v/>
      </c>
      <c r="E96" t="n">
        <v>65.02500000000001</v>
      </c>
    </row>
    <row r="97">
      <c r="A97" s="15" t="n">
        <v>525284</v>
      </c>
      <c r="B97">
        <f>VLOOKUP(A97,Hrs!$A:$B,2,FALSE)</f>
        <v/>
      </c>
      <c r="C97">
        <f>INDEX(amount!A:A,MATCH(A97,amount!B:B,0))</f>
        <v/>
      </c>
      <c r="D97">
        <f>ROUND(C97/52/B97,2)</f>
        <v/>
      </c>
      <c r="E97" t="n">
        <v>71.47499999999999</v>
      </c>
    </row>
    <row r="98">
      <c r="A98" s="15" t="n">
        <v>526070</v>
      </c>
      <c r="B98">
        <f>VLOOKUP(A98,Hrs!$A:$B,2,FALSE)</f>
        <v/>
      </c>
      <c r="C98">
        <f>INDEX(amount!A:A,MATCH(A98,amount!B:B,0))</f>
        <v/>
      </c>
      <c r="D98">
        <f>ROUND(C98/52/B98,2)</f>
        <v/>
      </c>
      <c r="E98" t="n">
        <v>61.185</v>
      </c>
    </row>
    <row r="99">
      <c r="A99" s="17" t="n">
        <v>525290</v>
      </c>
      <c r="B99">
        <f>VLOOKUP(A99,Hrs!$A:$B,2,FALSE)</f>
        <v/>
      </c>
      <c r="C99">
        <f>INDEX(amount!A:A,MATCH(A99,amount!B:B,0))</f>
        <v/>
      </c>
      <c r="D99">
        <f>ROUND(C99/52/B99,2)</f>
        <v/>
      </c>
      <c r="E99" t="n">
        <v>13.59</v>
      </c>
    </row>
    <row r="100">
      <c r="A100" s="18" t="n">
        <v>526133</v>
      </c>
      <c r="B100">
        <f>VLOOKUP(A100,Hrs!$A:$B,2,FALSE)</f>
        <v/>
      </c>
      <c r="C100">
        <f>INDEX(amount!A:A,MATCH(A100,amount!B:B,0))</f>
        <v/>
      </c>
      <c r="D100">
        <f>ROUND(C100/52/B100,2)</f>
        <v/>
      </c>
      <c r="E100" t="n">
        <v>16.05</v>
      </c>
    </row>
    <row r="101">
      <c r="A101" s="15" t="n">
        <v>526067</v>
      </c>
      <c r="B101">
        <f>VLOOKUP(A101,Hrs!$A:$B,2,FALSE)</f>
        <v/>
      </c>
      <c r="C101">
        <f>INDEX(amount!A:A,MATCH(A101,amount!B:B,0))</f>
        <v/>
      </c>
      <c r="D101">
        <f>ROUND(C101/52/B101,2)</f>
        <v/>
      </c>
      <c r="E101" t="n">
        <v>15.435</v>
      </c>
    </row>
    <row r="102">
      <c r="A102" s="19" t="n">
        <v>526069</v>
      </c>
      <c r="B102">
        <f>VLOOKUP(A102,Hrs!$A:$B,2,FALSE)</f>
        <v/>
      </c>
      <c r="C102">
        <f>INDEX(amount!A:A,MATCH(A102,amount!B:B,0))</f>
        <v/>
      </c>
      <c r="D102">
        <f>ROUND(C102/52/B102,2)</f>
        <v/>
      </c>
      <c r="E102" t="n">
        <v>54.66</v>
      </c>
    </row>
    <row r="103">
      <c r="A103" s="21" t="n">
        <v>522577</v>
      </c>
      <c r="B103">
        <f>VLOOKUP(A103,Hrs!$A:$B,2,FALSE)</f>
        <v/>
      </c>
      <c r="C103">
        <f>INDEX(amount!A:A,MATCH(A103,amount!B:B,0))</f>
        <v/>
      </c>
      <c r="D103">
        <f>ROUND(C103/52/B103,2)</f>
        <v/>
      </c>
      <c r="E103" t="n">
        <v>36.735</v>
      </c>
    </row>
    <row r="104">
      <c r="A104" s="21" t="n">
        <v>526141</v>
      </c>
      <c r="B104">
        <f>VLOOKUP(A104,Hrs!$A:$B,2,FALSE)</f>
        <v/>
      </c>
      <c r="C104">
        <f>INDEX(amount!A:A,MATCH(A104,amount!B:B,0))</f>
        <v/>
      </c>
      <c r="D104">
        <f>ROUND(C104/52/B104,2)</f>
        <v/>
      </c>
      <c r="E104" t="n">
        <v>65.48999999999999</v>
      </c>
    </row>
    <row r="105">
      <c r="A105" s="15" t="n">
        <v>525562</v>
      </c>
      <c r="B105">
        <f>VLOOKUP(A105,Hrs!$A:$B,2,FALSE)</f>
        <v/>
      </c>
      <c r="C105">
        <f>INDEX(amount!A:A,MATCH(A105,amount!B:B,0))</f>
        <v/>
      </c>
      <c r="D105">
        <f>ROUND(C105/52/B105,2)</f>
        <v/>
      </c>
      <c r="E105" t="n">
        <v>58.5</v>
      </c>
    </row>
    <row r="106">
      <c r="A106" s="15" t="n">
        <v>522902</v>
      </c>
      <c r="B106">
        <f>VLOOKUP(A106,Hrs!$A:$B,2,FALSE)</f>
        <v/>
      </c>
      <c r="C106">
        <f>INDEX(amount!A:A,MATCH(A106,amount!B:B,0))</f>
        <v/>
      </c>
      <c r="D106">
        <f>ROUND(C106/52/B106,2)</f>
        <v/>
      </c>
      <c r="E106" t="n">
        <v>32.925</v>
      </c>
    </row>
    <row r="107">
      <c r="A107" s="15" t="n">
        <v>513100</v>
      </c>
      <c r="B107">
        <f>VLOOKUP(A107,Hrs!$A:$B,2,FALSE)</f>
        <v/>
      </c>
      <c r="C107">
        <f>INDEX(amount!A:A,MATCH(A107,amount!B:B,0))</f>
        <v/>
      </c>
      <c r="D107">
        <f>ROUND(C107/52/B107,2)</f>
        <v/>
      </c>
      <c r="E107" t="n">
        <v>43.02</v>
      </c>
    </row>
    <row r="108">
      <c r="A108" s="15" t="n">
        <v>526085</v>
      </c>
      <c r="B108">
        <f>VLOOKUP(A108,Hrs!$A:$B,2,FALSE)</f>
        <v/>
      </c>
      <c r="C108">
        <f>INDEX(amount!A:A,MATCH(A108,amount!B:B,0))</f>
        <v/>
      </c>
      <c r="D108">
        <f>ROUND(C108/52/B108,2)</f>
        <v/>
      </c>
      <c r="E108" t="n">
        <v>43.8</v>
      </c>
    </row>
    <row r="109">
      <c r="A109" s="15" t="n">
        <v>524691</v>
      </c>
      <c r="B109">
        <f>VLOOKUP(A109,Hrs!$A:$B,2,FALSE)</f>
        <v/>
      </c>
      <c r="C109">
        <f>INDEX(amount!A:A,MATCH(A109,amount!B:B,0))</f>
        <v/>
      </c>
      <c r="D109">
        <f>ROUND(C109/52/B109,2)</f>
        <v/>
      </c>
      <c r="E109" t="n">
        <v>71.19</v>
      </c>
    </row>
    <row r="110">
      <c r="A110" s="21" t="n">
        <v>525793</v>
      </c>
      <c r="B110">
        <f>VLOOKUP(A110,Hrs!$A:$B,2,FALSE)</f>
        <v/>
      </c>
      <c r="C110">
        <f>INDEX(amount!A:A,MATCH(A110,amount!B:B,0))</f>
        <v/>
      </c>
      <c r="D110">
        <f>ROUND(C110/52/B110,2)</f>
        <v/>
      </c>
      <c r="E110" t="n">
        <v>45.21</v>
      </c>
    </row>
    <row r="111">
      <c r="A111" s="15" t="n">
        <v>524367</v>
      </c>
      <c r="B111">
        <f>VLOOKUP(A111,Hrs!$A:$B,2,FALSE)</f>
        <v/>
      </c>
      <c r="C111">
        <f>INDEX(amount!A:A,MATCH(A111,amount!B:B,0))</f>
        <v/>
      </c>
      <c r="D111">
        <f>ROUND(C111/52/B111,2)</f>
        <v/>
      </c>
      <c r="E111" t="n">
        <v>0.18</v>
      </c>
    </row>
    <row r="112">
      <c r="A112" s="21" t="n">
        <v>525249</v>
      </c>
      <c r="B112">
        <f>VLOOKUP(A112,Hrs!$A:$B,2,FALSE)</f>
        <v/>
      </c>
      <c r="C112">
        <f>INDEX(amount!A:A,MATCH(A112,amount!B:B,0))</f>
        <v/>
      </c>
      <c r="D112">
        <f>ROUND(C112/52/B112,2)</f>
        <v/>
      </c>
      <c r="E112" t="n">
        <v>33.75</v>
      </c>
    </row>
    <row r="113">
      <c r="A113" s="17" t="n">
        <v>525393</v>
      </c>
      <c r="B113">
        <f>VLOOKUP(A113,Hrs!$A:$B,2,FALSE)</f>
        <v/>
      </c>
      <c r="C113">
        <f>INDEX(amount!A:A,MATCH(A113,amount!B:B,0))</f>
        <v/>
      </c>
      <c r="D113">
        <f>ROUND(C113/52/B113,2)</f>
        <v/>
      </c>
      <c r="E113" t="n">
        <v>29.04</v>
      </c>
    </row>
    <row r="114">
      <c r="A114" s="23" t="n">
        <v>526185</v>
      </c>
      <c r="B114">
        <f>VLOOKUP(A114,Hrs!$A:$B,2,FALSE)</f>
        <v/>
      </c>
      <c r="C114">
        <f>INDEX(amount!A:A,MATCH(A114,amount!B:B,0))</f>
        <v/>
      </c>
      <c r="D114">
        <f>ROUND(C114/52/B114,2)</f>
        <v/>
      </c>
      <c r="E114" t="n">
        <v>57.285</v>
      </c>
    </row>
    <row r="115">
      <c r="A115" s="23" t="n">
        <v>526166</v>
      </c>
      <c r="B115">
        <f>VLOOKUP(A115,Hrs!$A:$B,2,FALSE)</f>
        <v/>
      </c>
      <c r="C115">
        <f>INDEX(amount!A:A,MATCH(A115,amount!B:B,0))</f>
        <v/>
      </c>
      <c r="D115">
        <f>ROUND(C115/52/B115,2)</f>
        <v/>
      </c>
      <c r="E115" t="n">
        <v>4.89</v>
      </c>
    </row>
    <row r="116">
      <c r="A116" s="15" t="n">
        <v>167224</v>
      </c>
      <c r="B116">
        <f>VLOOKUP(A116,Hrs!$A:$B,2,FALSE)</f>
        <v/>
      </c>
      <c r="C116">
        <f>INDEX(amount!A:A,MATCH(A116,amount!B:B,0))</f>
        <v/>
      </c>
      <c r="D116">
        <f>ROUND(C116/52/B116,2)</f>
        <v/>
      </c>
      <c r="E116" t="n">
        <v>13.395</v>
      </c>
    </row>
    <row r="117">
      <c r="A117" s="21" t="n">
        <v>524902</v>
      </c>
      <c r="B117">
        <f>VLOOKUP(A117,Hrs!$A:$B,2,FALSE)</f>
        <v/>
      </c>
      <c r="C117">
        <f>INDEX(amount!A:A,MATCH(A117,amount!B:B,0))</f>
        <v/>
      </c>
      <c r="D117">
        <f>ROUND(C117/52/B117,2)</f>
        <v/>
      </c>
      <c r="E117" t="n">
        <v>21.72</v>
      </c>
    </row>
    <row r="118">
      <c r="A118" s="24" t="n">
        <v>524871</v>
      </c>
      <c r="B118">
        <f>VLOOKUP(A118,Hrs!$A:$B,2,FALSE)</f>
        <v/>
      </c>
      <c r="C118">
        <f>INDEX(amount!A:A,MATCH(A118,amount!B:B,0))</f>
        <v/>
      </c>
      <c r="D118">
        <f>ROUND(C118/52/B118,2)</f>
        <v/>
      </c>
      <c r="E118" t="n">
        <v>127.94</v>
      </c>
    </row>
    <row r="119">
      <c r="A119" s="25" t="n">
        <v>524904</v>
      </c>
      <c r="B119">
        <f>VLOOKUP(A119,Hrs!$A:$B,2,FALSE)</f>
        <v/>
      </c>
      <c r="C119">
        <f>INDEX(amount!A:A,MATCH(A119,amount!B:B,0))</f>
        <v/>
      </c>
      <c r="D119">
        <f>ROUND(C119/52/B119,2)</f>
        <v/>
      </c>
      <c r="E119" t="n">
        <v>57.98</v>
      </c>
    </row>
    <row r="120">
      <c r="A120" s="25" t="n">
        <v>524940</v>
      </c>
      <c r="B120">
        <f>VLOOKUP(A120,Hrs!$A:$B,2,FALSE)</f>
        <v/>
      </c>
      <c r="C120">
        <f>INDEX(amount!A:A,MATCH(A120,amount!B:B,0))</f>
        <v/>
      </c>
      <c r="D120">
        <f>ROUND(C120/52/B120,2)</f>
        <v/>
      </c>
      <c r="E120" t="n">
        <v>26.235</v>
      </c>
    </row>
    <row r="121">
      <c r="A121" s="26" t="n">
        <v>525263</v>
      </c>
      <c r="B121">
        <f>VLOOKUP(A121,Hrs!$A:$B,2,FALSE)</f>
        <v/>
      </c>
      <c r="C121">
        <f>INDEX(amount!A:A,MATCH(A121,amount!B:B,0))</f>
        <v/>
      </c>
      <c r="D121">
        <f>ROUND(C121/52/B121,2)</f>
        <v/>
      </c>
      <c r="E121" t="n">
        <v>26.97</v>
      </c>
    </row>
    <row r="122">
      <c r="A122" s="21" t="n">
        <v>526019</v>
      </c>
      <c r="B122">
        <f>VLOOKUP(A122,Hrs!$A:$B,2,FALSE)</f>
        <v/>
      </c>
      <c r="C122">
        <f>INDEX(amount!A:A,MATCH(A122,amount!B:B,0))</f>
        <v/>
      </c>
      <c r="D122">
        <f>ROUND(C122/52/B122,2)</f>
        <v/>
      </c>
      <c r="E122" t="n">
        <v>47.31</v>
      </c>
    </row>
    <row r="123">
      <c r="A123" s="24" t="n">
        <v>525212</v>
      </c>
      <c r="B123">
        <f>VLOOKUP(A123,Hrs!$A:$B,2,FALSE)</f>
        <v/>
      </c>
      <c r="C123">
        <f>INDEX(amount!A:A,MATCH(A123,amount!B:B,0))</f>
        <v/>
      </c>
      <c r="D123">
        <f>ROUND(C123/52/B123,2)</f>
        <v/>
      </c>
      <c r="E123" t="n">
        <v>23.91</v>
      </c>
    </row>
    <row r="124">
      <c r="A124" s="15" t="n">
        <v>522379</v>
      </c>
      <c r="B124">
        <f>VLOOKUP(A124,Hrs!$A:$B,2,FALSE)</f>
        <v/>
      </c>
      <c r="C124">
        <f>INDEX(amount!A:A,MATCH(A124,amount!B:B,0))</f>
        <v/>
      </c>
      <c r="D124">
        <f>ROUND(C124/52/B124,2)</f>
        <v/>
      </c>
      <c r="E124" t="n">
        <v>63.22499999999999</v>
      </c>
    </row>
    <row r="125">
      <c r="A125" s="15" t="n">
        <v>525312</v>
      </c>
      <c r="B125">
        <f>VLOOKUP(A125,Hrs!$A:$B,2,FALSE)</f>
        <v/>
      </c>
      <c r="C125">
        <f>INDEX(amount!A:A,MATCH(A125,amount!B:B,0))</f>
        <v/>
      </c>
      <c r="D125">
        <f>ROUND(C125/52/B125,2)</f>
        <v/>
      </c>
      <c r="E125" t="n">
        <v>74.36</v>
      </c>
    </row>
    <row r="126">
      <c r="A126" s="15" t="n">
        <v>524374</v>
      </c>
      <c r="B126">
        <f>VLOOKUP(A126,Hrs!$A:$B,2,FALSE)</f>
        <v/>
      </c>
      <c r="C126">
        <f>INDEX(amount!A:A,MATCH(A126,amount!B:B,0))</f>
        <v/>
      </c>
      <c r="D126">
        <f>ROUND(C126/52/B126,2)</f>
        <v/>
      </c>
      <c r="E126" t="n">
        <v>23.19</v>
      </c>
    </row>
    <row r="127">
      <c r="A127" s="17" t="n">
        <v>525941</v>
      </c>
      <c r="B127">
        <f>VLOOKUP(A127,Hrs!$A:$B,2,FALSE)</f>
        <v/>
      </c>
      <c r="C127">
        <f>INDEX(amount!A:A,MATCH(A127,amount!B:B,0))</f>
        <v/>
      </c>
      <c r="D127">
        <f>ROUND(C127/52/B127,2)</f>
        <v/>
      </c>
      <c r="E127" t="n">
        <v>39.97499999999999</v>
      </c>
    </row>
    <row r="128">
      <c r="A128" s="21" t="n">
        <v>525644</v>
      </c>
      <c r="B128">
        <f>VLOOKUP(A128,Hrs!$A:$B,2,FALSE)</f>
        <v/>
      </c>
      <c r="C128">
        <f>INDEX(amount!A:A,MATCH(A128,amount!B:B,0))</f>
        <v/>
      </c>
      <c r="D128">
        <f>ROUND(C128/52/B128,2)</f>
        <v/>
      </c>
      <c r="E128" t="n">
        <v>15.72</v>
      </c>
    </row>
    <row r="129">
      <c r="A129" s="15" t="n">
        <v>525482</v>
      </c>
      <c r="B129">
        <f>VLOOKUP(A129,Hrs!$A:$B,2,FALSE)</f>
        <v/>
      </c>
      <c r="C129">
        <f>INDEX(amount!A:A,MATCH(A129,amount!B:B,0))</f>
        <v/>
      </c>
      <c r="D129">
        <f>ROUND(C129/52/B129,2)</f>
        <v/>
      </c>
      <c r="E129" t="n">
        <v>51.015</v>
      </c>
    </row>
    <row r="130">
      <c r="A130" s="15" t="n">
        <v>522651</v>
      </c>
      <c r="B130">
        <f>VLOOKUP(A130,Hrs!$A:$B,2,FALSE)</f>
        <v/>
      </c>
      <c r="C130">
        <f>INDEX(amount!A:A,MATCH(A130,amount!B:B,0))</f>
        <v/>
      </c>
      <c r="D130">
        <f>ROUND(C130/52/B130,2)</f>
        <v/>
      </c>
      <c r="E130" t="n">
        <v>43.94</v>
      </c>
    </row>
    <row r="131">
      <c r="A131" s="17" t="n">
        <v>161374</v>
      </c>
      <c r="B131">
        <f>VLOOKUP(A131,Hrs!$A:$B,2,FALSE)</f>
        <v/>
      </c>
      <c r="C131">
        <f>INDEX(amount!A:A,MATCH(A131,amount!B:B,0))</f>
        <v/>
      </c>
      <c r="D131">
        <f>ROUND(C131/52/B131,2)</f>
        <v/>
      </c>
      <c r="E131" t="n">
        <v>12.21</v>
      </c>
    </row>
    <row r="132">
      <c r="A132" s="15" t="n">
        <v>207973</v>
      </c>
      <c r="B132">
        <f>VLOOKUP(A132,Hrs!$A:$B,2,FALSE)</f>
        <v/>
      </c>
      <c r="C132">
        <f>INDEX(amount!A:A,MATCH(A132,amount!B:B,0))</f>
        <v/>
      </c>
      <c r="D132">
        <f>ROUND(C132/52/B132,2)</f>
        <v/>
      </c>
      <c r="E132" t="n">
        <v>143.92</v>
      </c>
    </row>
    <row r="133">
      <c r="A133" s="17" t="n">
        <v>505393</v>
      </c>
      <c r="B133">
        <f>VLOOKUP(A133,Hrs!$A:$B,2,FALSE)</f>
        <v/>
      </c>
      <c r="C133">
        <f>INDEX(amount!A:A,MATCH(A133,amount!B:B,0))</f>
        <v/>
      </c>
      <c r="D133">
        <f>ROUND(C133/52/B133,2)</f>
        <v/>
      </c>
      <c r="E133" t="n">
        <v>112.24</v>
      </c>
    </row>
    <row r="134">
      <c r="A134" s="15" t="n">
        <v>509189</v>
      </c>
      <c r="B134">
        <f>VLOOKUP(A134,Hrs!$A:$B,2,FALSE)</f>
        <v/>
      </c>
      <c r="C134">
        <f>INDEX(amount!A:A,MATCH(A134,amount!B:B,0))</f>
        <v/>
      </c>
      <c r="D134">
        <f>ROUND(C134/52/B134,2)</f>
        <v/>
      </c>
      <c r="E134" t="n">
        <v>78.76000000000001</v>
      </c>
    </row>
    <row r="135">
      <c r="A135" s="15" t="n">
        <v>521656</v>
      </c>
      <c r="B135">
        <f>VLOOKUP(A135,Hrs!$A:$B,2,FALSE)</f>
        <v/>
      </c>
      <c r="C135">
        <f>INDEX(amount!A:A,MATCH(A135,amount!B:B,0))</f>
        <v/>
      </c>
      <c r="D135">
        <f>ROUND(C135/52/B135,2)</f>
        <v/>
      </c>
      <c r="E135" t="n">
        <v>17.805</v>
      </c>
    </row>
    <row r="136">
      <c r="A136" s="15" t="n">
        <v>522363</v>
      </c>
      <c r="B136">
        <f>VLOOKUP(A136,Hrs!$A:$B,2,FALSE)</f>
        <v/>
      </c>
      <c r="C136">
        <f>INDEX(amount!A:A,MATCH(A136,amount!B:B,0))</f>
        <v/>
      </c>
      <c r="D136">
        <f>ROUND(C136/52/B136,2)</f>
        <v/>
      </c>
      <c r="E136" t="n">
        <v>48.4</v>
      </c>
    </row>
    <row r="137">
      <c r="A137" s="15" t="n">
        <v>522886</v>
      </c>
      <c r="B137">
        <f>VLOOKUP(A137,Hrs!$A:$B,2,FALSE)</f>
        <v/>
      </c>
      <c r="C137">
        <f>INDEX(amount!A:A,MATCH(A137,amount!B:B,0))</f>
        <v/>
      </c>
      <c r="D137">
        <f>ROUND(C137/52/B137,2)</f>
        <v/>
      </c>
      <c r="E137" t="n">
        <v>48.42</v>
      </c>
    </row>
    <row r="138">
      <c r="A138" s="15" t="n">
        <v>523182</v>
      </c>
      <c r="B138">
        <f>VLOOKUP(A138,Hrs!$A:$B,2,FALSE)</f>
        <v/>
      </c>
      <c r="C138">
        <f>INDEX(amount!A:A,MATCH(A138,amount!B:B,0))</f>
        <v/>
      </c>
      <c r="D138">
        <f>ROUND(C138/52/B138,2)</f>
        <v/>
      </c>
      <c r="E138" t="n">
        <v>11.97</v>
      </c>
    </row>
    <row r="139">
      <c r="A139" s="15" t="n">
        <v>524498</v>
      </c>
      <c r="B139">
        <f>VLOOKUP(A139,Hrs!$A:$B,2,FALSE)</f>
        <v/>
      </c>
      <c r="C139">
        <f>INDEX(amount!A:A,MATCH(A139,amount!B:B,0))</f>
        <v/>
      </c>
      <c r="D139">
        <f>ROUND(C139/52/B139,2)</f>
        <v/>
      </c>
      <c r="E139" t="n">
        <v>148.68</v>
      </c>
    </row>
    <row r="140">
      <c r="A140" s="17" t="n">
        <v>525565</v>
      </c>
      <c r="B140">
        <f>VLOOKUP(A140,Hrs!$A:$B,2,FALSE)</f>
        <v/>
      </c>
      <c r="C140">
        <f>INDEX(amount!A:A,MATCH(A140,amount!B:B,0))</f>
        <v/>
      </c>
      <c r="D140">
        <f>ROUND(C140/52/B140,2)</f>
        <v/>
      </c>
      <c r="E140" t="n">
        <v>70.755</v>
      </c>
    </row>
    <row r="141">
      <c r="A141" s="15" t="n">
        <v>525949</v>
      </c>
      <c r="B141">
        <f>VLOOKUP(A141,Hrs!$A:$B,2,FALSE)</f>
        <v/>
      </c>
      <c r="C141">
        <f>INDEX(amount!A:A,MATCH(A141,amount!B:B,0))</f>
        <v/>
      </c>
      <c r="D141">
        <f>ROUND(C141/52/B141,2)</f>
        <v/>
      </c>
      <c r="E141" t="n">
        <v>64.005</v>
      </c>
    </row>
    <row r="142">
      <c r="A142" s="15" t="n">
        <v>525171</v>
      </c>
      <c r="B142">
        <f>VLOOKUP(A142,Hrs!$A:$B,2,FALSE)</f>
        <v/>
      </c>
      <c r="C142">
        <f>INDEX(amount!A:A,MATCH(A142,amount!B:B,0))</f>
        <v/>
      </c>
      <c r="D142">
        <f>ROUND(C142/52/B142,2)</f>
        <v/>
      </c>
      <c r="E142" t="n">
        <v>8.415000000000001</v>
      </c>
    </row>
    <row r="143">
      <c r="A143" s="15" t="n">
        <v>526059</v>
      </c>
      <c r="B143">
        <f>VLOOKUP(A143,Hrs!$A:$B,2,FALSE)</f>
        <v/>
      </c>
      <c r="C143">
        <f>INDEX(amount!A:A,MATCH(A143,amount!B:B,0))</f>
        <v/>
      </c>
      <c r="D143">
        <f>ROUND(C143/52/B143,2)</f>
        <v/>
      </c>
      <c r="E143" t="n">
        <v>62.76000000000001</v>
      </c>
    </row>
    <row r="144">
      <c r="A144" s="15" t="n">
        <v>521078</v>
      </c>
      <c r="B144">
        <f>VLOOKUP(A144,Hrs!$A:$B,2,FALSE)</f>
        <v/>
      </c>
      <c r="C144">
        <f>INDEX(amount!A:A,MATCH(A144,amount!B:B,0))</f>
        <v/>
      </c>
      <c r="D144">
        <f>ROUND(C144/52/B144,2)</f>
        <v/>
      </c>
      <c r="E144" t="n">
        <v>12.555</v>
      </c>
    </row>
    <row r="145">
      <c r="A145" s="15" t="n">
        <v>525784</v>
      </c>
      <c r="B145">
        <f>VLOOKUP(A145,Hrs!$A:$B,2,FALSE)</f>
        <v/>
      </c>
      <c r="C145">
        <f>INDEX(amount!A:A,MATCH(A145,amount!B:B,0))</f>
        <v/>
      </c>
      <c r="D145">
        <f>ROUND(C145/52/B145,2)</f>
        <v/>
      </c>
      <c r="E145" t="n">
        <v>49.785</v>
      </c>
    </row>
    <row r="146">
      <c r="A146" s="14" t="n">
        <v>525314</v>
      </c>
      <c r="B146">
        <f>VLOOKUP(A146,Hrs!$A:$B,2,FALSE)</f>
        <v/>
      </c>
      <c r="C146">
        <f>INDEX(amount!A:A,MATCH(A146,amount!B:B,0))</f>
        <v/>
      </c>
      <c r="D146">
        <f>ROUND(C146/52/B146,2)</f>
        <v/>
      </c>
      <c r="E146" t="n">
        <v>38.22</v>
      </c>
    </row>
    <row r="147">
      <c r="A147" s="14" t="n">
        <v>524412</v>
      </c>
      <c r="B147">
        <f>VLOOKUP(A147,Hrs!$A:$B,2,FALSE)</f>
        <v/>
      </c>
      <c r="C147">
        <f>INDEX(amount!A:A,MATCH(A147,amount!B:B,0))</f>
        <v/>
      </c>
      <c r="D147">
        <f>ROUND(C147/52/B147,2)</f>
        <v/>
      </c>
      <c r="E147" t="n">
        <v>39.795</v>
      </c>
    </row>
    <row r="148">
      <c r="A148" s="14" t="n">
        <v>521396</v>
      </c>
      <c r="B148">
        <f>VLOOKUP(A148,Hrs!$A:$B,2,FALSE)</f>
        <v/>
      </c>
      <c r="C148">
        <f>INDEX(amount!A:A,MATCH(A148,amount!B:B,0))</f>
        <v/>
      </c>
      <c r="D148">
        <f>ROUND(C148/52/B148,2)</f>
        <v/>
      </c>
      <c r="E148" t="n">
        <v>156.68</v>
      </c>
    </row>
    <row r="149">
      <c r="A149" s="14" t="n">
        <v>523429</v>
      </c>
      <c r="B149">
        <f>VLOOKUP(A149,Hrs!$A:$B,2,FALSE)</f>
        <v/>
      </c>
      <c r="C149">
        <f>INDEX(amount!A:A,MATCH(A149,amount!B:B,0))</f>
        <v/>
      </c>
      <c r="D149">
        <f>ROUND(C149/52/B149,2)</f>
        <v/>
      </c>
      <c r="E149" t="n">
        <v>7.245</v>
      </c>
    </row>
    <row r="150">
      <c r="A150" s="14" t="n">
        <v>525610</v>
      </c>
      <c r="B150">
        <f>VLOOKUP(A150,Hrs!$A:$B,2,FALSE)</f>
        <v/>
      </c>
      <c r="C150">
        <f>INDEX(amount!A:A,MATCH(A150,amount!B:B,0))</f>
        <v/>
      </c>
      <c r="D150">
        <f>ROUND(C150/52/B150,2)</f>
        <v/>
      </c>
      <c r="E150" t="n">
        <v>61.815</v>
      </c>
    </row>
    <row r="151">
      <c r="A151" s="14" t="n">
        <v>523266</v>
      </c>
      <c r="B151">
        <f>VLOOKUP(A151,Hrs!$A:$B,2,FALSE)</f>
        <v/>
      </c>
      <c r="C151">
        <f>INDEX(amount!A:A,MATCH(A151,amount!B:B,0))</f>
        <v/>
      </c>
      <c r="D151">
        <f>ROUND(C151/52/B151,2)</f>
        <v/>
      </c>
      <c r="E151" t="n">
        <v>2.85</v>
      </c>
    </row>
    <row r="152">
      <c r="A152" s="14" t="n">
        <v>525437</v>
      </c>
      <c r="B152">
        <f>VLOOKUP(A152,Hrs!$A:$B,2,FALSE)</f>
        <v/>
      </c>
      <c r="C152">
        <f>INDEX(amount!A:A,MATCH(A152,amount!B:B,0))</f>
        <v/>
      </c>
      <c r="D152">
        <f>ROUND(C152/52/B152,2)</f>
        <v/>
      </c>
      <c r="E152" t="n">
        <v>35.565</v>
      </c>
    </row>
    <row r="153">
      <c r="A153" s="14" t="n">
        <v>522613</v>
      </c>
      <c r="B153">
        <f>VLOOKUP(A153,Hrs!$A:$B,2,FALSE)</f>
        <v/>
      </c>
      <c r="C153">
        <f>INDEX(amount!A:A,MATCH(A153,amount!B:B,0))</f>
        <v/>
      </c>
      <c r="D153">
        <f>ROUND(C153/52/B153,2)</f>
        <v/>
      </c>
      <c r="E153" t="n">
        <v>62.46</v>
      </c>
    </row>
    <row r="154">
      <c r="A154" s="14" t="n">
        <v>524972</v>
      </c>
      <c r="B154">
        <f>VLOOKUP(A154,Hrs!$A:$B,2,FALSE)</f>
        <v/>
      </c>
      <c r="C154">
        <f>INDEX(amount!A:A,MATCH(A154,amount!B:B,0))</f>
        <v/>
      </c>
      <c r="D154">
        <f>ROUND(C154/52/B154,2)</f>
        <v/>
      </c>
      <c r="E154" t="n">
        <v>19.335</v>
      </c>
    </row>
  </sheetData>
  <autoFilter ref="A1:F15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width="12.7083333333333" customWidth="1" min="1" max="1"/>
    <col width="12.5666666666667" customWidth="1" min="2" max="2"/>
  </cols>
  <sheetData>
    <row r="1" ht="26" customHeight="1">
      <c r="A1" s="2" t="inlineStr">
        <is>
          <t>Employee Number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Crammond, Mr. O. (Oliver)</dc:creator>
  <dcterms:created xmlns:dcterms="http://purl.org/dc/terms/" xmlns:xsi="http://www.w3.org/2001/XMLSchema-instance" xsi:type="dcterms:W3CDTF">2020-06-01T16:57:00Z</dcterms:created>
  <dcterms:modified xmlns:dcterms="http://purl.org/dc/terms/" xmlns:xsi="http://www.w3.org/2001/XMLSchema-instance" xsi:type="dcterms:W3CDTF">2026-09-06T00:33:13Z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0567054D55AC42478D6289C112C8FA51_12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